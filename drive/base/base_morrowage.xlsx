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69cca846e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7ea3c1cecad1499b"/>
    <x:sheet xmlns:r="http://schemas.openxmlformats.org/officeDocument/2006/relationships" name="Diccionario" sheetId="2" r:id="Rfa36a021f75745ee"/>
    <x:sheet xmlns:r="http://schemas.openxmlformats.org/officeDocument/2006/relationships" name="Parametros" sheetId="3" r:id="Ra90ebce025b04af7"/>
    <x:sheet xmlns:r="http://schemas.openxmlformats.org/officeDocument/2006/relationships" name="Tablas_Benchmark" sheetId="4" r:id="Rb852fda2e2644181"/>
    <x:sheet xmlns:r="http://schemas.openxmlformats.org/officeDocument/2006/relationships" name="Tablas_Conversion" sheetId="5" r:id="Reca5dda5b8504479"/>
    <x:sheet xmlns:r="http://schemas.openxmlformats.org/officeDocument/2006/relationships" name="Tablas_Mercados" sheetId="6" r:id="R2db24b3e57d0481e"/>
    <x:sheet xmlns:r="http://schemas.openxmlformats.org/officeDocument/2006/relationships" name="Motor" sheetId="7" r:id="Ra2446ed0fa614fff"/>
    <x:sheet xmlns:r="http://schemas.openxmlformats.org/officeDocument/2006/relationships" name="Casos_Prueba" sheetId="8" r:id="R8addb188d9154bf3"/>
    <x:sheet xmlns:r="http://schemas.openxmlformats.org/officeDocument/2006/relationships" name="Fuentes" sheetId="9" r:id="R4f658d1e0b134010"/>
    <x:sheet xmlns:r="http://schemas.openxmlformats.org/officeDocument/2006/relationships" name="Changelog" sheetId="10" r:id="Rcf4519a03d8d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9">
    <x:dxf>
      <x:font>
        <x:color rgb="FF215E21"/>
      </x:font>
      <x:fill>
        <x:patternFill>
          <x:bgColor rgb="FFE2F0D9"/>
        </x:patternFill>
      </x:fill>
    </x:dxf>
    <x:dxf>
      <x:font>
        <x:color rgb="FF215E21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15E21"/>
      </x:font>
      <x:fill>
        <x:patternFill>
          <x:bgColor rgb="FFE2F0D9"/>
        </x:patternFill>
      </x:fill>
    </x:dxf>
    <x:dxf>
      <x:font>
        <x:color rgb="FFB91C1C"/>
      </x:font>
      <x:fill>
        <x:patternFill>
          <x:bgColor rgb="FFFCE8E6"/>
        </x:patternFill>
      </x:fill>
    </x:dxf>
    <x:dxf>
      <x:font>
        <x:color rgb="FF215E21"/>
      </x:font>
      <x:fill>
        <x:patternFill>
          <x:bgColor rgb="FFE2F0D9"/>
        </x:patternFill>
      </x:fill>
    </x:dxf>
    <x:dxf>
      <x:font>
        <x:color rgb="FF215E21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c79f36c2540d4" /><Relationship Type="http://schemas.openxmlformats.org/officeDocument/2006/relationships/theme" Target="/xl/theme/theme1.xml" Id="R6cf1078f431948c9" /><Relationship Type="http://schemas.openxmlformats.org/officeDocument/2006/relationships/sharedStrings" Target="/xl/sharedStrings.xml" Id="Rbd668404adbd4912" /><Relationship Type="http://schemas.openxmlformats.org/officeDocument/2006/relationships/worksheet" Target="/xl/worksheets/sheet1.xml" Id="R7ea3c1cecad1499b" /><Relationship Type="http://schemas.openxmlformats.org/officeDocument/2006/relationships/worksheet" Target="/xl/worksheets/sheet2.xml" Id="Rfa36a021f75745ee" /><Relationship Type="http://schemas.openxmlformats.org/officeDocument/2006/relationships/worksheet" Target="/xl/worksheets/sheet3.xml" Id="Ra90ebce025b04af7" /><Relationship Type="http://schemas.openxmlformats.org/officeDocument/2006/relationships/worksheet" Target="/xl/worksheets/sheet4.xml" Id="Rb852fda2e2644181" /><Relationship Type="http://schemas.openxmlformats.org/officeDocument/2006/relationships/worksheet" Target="/xl/worksheets/sheet5.xml" Id="Reca5dda5b8504479" /><Relationship Type="http://schemas.openxmlformats.org/officeDocument/2006/relationships/worksheet" Target="/xl/worksheets/sheet6.xml" Id="R2db24b3e57d0481e" /><Relationship Type="http://schemas.openxmlformats.org/officeDocument/2006/relationships/worksheet" Target="/xl/worksheets/sheet7.xml" Id="Ra2446ed0fa614fff" /><Relationship Type="http://schemas.openxmlformats.org/officeDocument/2006/relationships/worksheet" Target="/xl/worksheets/sheet8.xml" Id="R8addb188d9154bf3" /><Relationship Type="http://schemas.openxmlformats.org/officeDocument/2006/relationships/worksheet" Target="/xl/worksheets/sheet9.xml" Id="R4f658d1e0b134010" /><Relationship Type="http://schemas.openxmlformats.org/officeDocument/2006/relationships/worksheet" Target="/xl/worksheets/sheet10.xml" Id="Rcf4519a03d8d4d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a653f6459f45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Edad cronológica vs MorrowAge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Años</c:v>
          </c:tx>
          <c:cat>
            <c:strRef>
              <c:f>'Motor'!$F$4:$F$5</c:f>
              <c:strCache>
                <c:ptCount val="0"/>
              </c:strCache>
            </c:strRef>
          </c:cat>
          <c:val>
            <c:numRef>
              <c:f>'Motor'!$G$4:$G$5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a653f6459f459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a9ebc9c96f54284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78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>
      <x:c r="A1" s="4" t="str">
        <x:v>MorrowAge · Base de conocimiento y motor v2.1</x:v>
      </x:c>
      <x:c r="B1" s="4"/>
      <x:c r="C1" s="4"/>
      <x:c r="D1" s="4"/>
      <x:c r="E1" s="4"/>
      <x:c r="F1" s="4"/>
    </x:row>
    <x:row r="2">
      <x:c r="A2" s="11" t="str">
        <x:v>Campo</x:v>
      </x:c>
      <x:c r="B2" s="11" t="str">
        <x:v>Detalle</x:v>
      </x:c>
      <x:c r="C2" s="11" t="str"/>
      <x:c r="D2" s="11" t="str"/>
      <x:c r="E2" s="11" t="str"/>
      <x:c r="F2" s="11" t="str"/>
    </x:row>
    <x:row r="3">
      <x:c r="A3" s="16" t="str">
        <x:v>Propósito</x:v>
      </x:c>
      <x:c r="B3" s="16" t="str">
        <x:v>Base auditable que replica el modelo principal y centraliza parámetros, fuentes, benchmarks y pruebas.</x:v>
      </x:c>
      <x:c r="C3" s="16" t="str"/>
      <x:c r="D3" s="16" t="str"/>
      <x:c r="E3" s="16" t="str"/>
      <x:c r="F3" s="16" t="str"/>
    </x:row>
    <x:row r="4">
      <x:c r="A4" s="16" t="str">
        <x:v>Versión</x:v>
      </x:c>
      <x:c r="B4" s="16" t="str">
        <x:v>2.1</x:v>
      </x:c>
      <x:c r="C4" s="16" t="str"/>
      <x:c r="D4" s="16" t="str"/>
      <x:c r="E4" s="16" t="str"/>
      <x:c r="F4" s="16" t="str"/>
    </x:row>
    <x:row r="5">
      <x:c r="A5" s="16" t="str">
        <x:v>Fecha de corte</x:v>
      </x:c>
      <x:c r="B5" s="16" t="str">
        <x:v>2026-10-06</x:v>
      </x:c>
      <x:c r="C5" s="16" t="str"/>
      <x:c r="D5" s="16" t="str"/>
      <x:c r="E5" s="16" t="str"/>
      <x:c r="F5" s="16" t="str"/>
    </x:row>
    <x:row r="6">
      <x:c r="A6" s="16" t="str">
        <x:v>Estado</x:v>
      </x:c>
      <x:c r="B6" s="16" t="str">
        <x:v>QA_VERIFIED_RELATIVE_MODEL: 18/18 vectores; probabilidad absoluta a 10 años sigue bloqueada hasta recalibración validada.</x:v>
      </x:c>
      <x:c r="C6" s="16" t="str"/>
      <x:c r="D6" s="16" t="str"/>
      <x:c r="E6" s="16" t="str"/>
      <x:c r="F6" s="16" t="str"/>
    </x:row>
    <x:row r="7">
      <x:c r="A7" s="16" t="str">
        <x:v>Modelo</x:v>
      </x:c>
      <x:c r="B7" s="16" t="str">
        <x:v>Clift et al. 2021, raw-input Cox model 3; coeficientes publicados.</x:v>
      </x:c>
      <x:c r="C7" s="16" t="str"/>
      <x:c r="D7" s="16" t="str"/>
      <x:c r="E7" s="16" t="str"/>
      <x:c r="F7" s="16" t="str"/>
    </x:row>
    <x:row r="8">
      <x:c r="A8" s="16" t="str">
        <x:v>Salida v1</x:v>
      </x:c>
      <x:c r="B8" s="16" t="str">
        <x:v>MorrowAge (edad equivalente de riesgo), delta interno, hazard relativo vs benchmark y sensibilidad bounds-aware. UI censura MorrowAge fuera de 40–69.</x:v>
      </x:c>
      <x:c r="C8" s="16" t="str"/>
      <x:c r="D8" s="16" t="str"/>
      <x:c r="E8" s="16" t="str"/>
      <x:c r="F8" s="16" t="str"/>
    </x:row>
    <x:row r="9">
      <x:c r="A9" s="16" t="str">
        <x:v>No usar como</x:v>
      </x:c>
      <x:c r="B9" s="16" t="str">
        <x:v>Edad biológica, diagnóstico, predicción cierta de longevidad o probabilidad absoluta a 10 años.</x:v>
      </x:c>
      <x:c r="C9" s="16" t="str"/>
      <x:c r="D9" s="16" t="str"/>
      <x:c r="E9" s="16" t="str"/>
      <x:c r="F9" s="16" t="str"/>
    </x:row>
    <x:row r="10">
      <x:c r="A10" s="16" t="str">
        <x:v>Cómo actualizar</x:v>
      </x:c>
      <x:c r="B10" s="16" t="str">
        <x:v>1) Verificar nuevas fuentes; 2) agregar filas y estado; 3) actualizar Changelog; 4) regenerar test_vectors con engine_reference.py; 5) subir versión.</x:v>
      </x:c>
      <x:c r="C10" s="16" t="str"/>
      <x:c r="D10" s="16" t="str"/>
      <x:c r="E10" s="16" t="str"/>
      <x:c r="F10" s="16" t="str"/>
    </x:row>
    <x:row r="11">
      <x:c r="A11" s="16" t="str">
        <x:v>Runtime</x:v>
      </x:c>
      <x:c r="B11" s="16" t="str">
        <x:v>La app/build debe leer /Apps/morrowage/base/base_morrowage.xlsx o el JSON de coeficientes derivado; la cifra nunca viene de un LLM.</x:v>
      </x:c>
      <x:c r="C11" s="16" t="str"/>
      <x:c r="D11" s="16" t="str"/>
      <x:c r="E11" s="16" t="str"/>
      <x:c r="F11" s="16" t="str"/>
    </x:row>
    <x:row r="12">
      <x:c r="A12" s="16" t="str">
        <x:v>Licencia principal</x:v>
      </x:c>
      <x:c r="B12" s="16" t="str">
        <x:v>Artículo JMIR CC BY. Mantener atribución a Clift et al. 2021 y no reutilizar el C-Score propietario.</x:v>
      </x:c>
      <x:c r="C12" s="16" t="str"/>
      <x:c r="D12" s="16" t="str"/>
      <x:c r="E12" s="16" t="str"/>
      <x:c r="F12" s="16" t="str"/>
    </x:row>
    <x:row r="13">
      <x:c r="A13" s="36" t="str">
        <x:v>Cobertura verificada</x:v>
      </x:c>
      <x:c r="B13" s="16" t="str">
        <x:v>81.7% (49/60 filas de referencia en Parametros + Tablas_* + Fuentes; excluye diccionario, casos generados y changelog).</x:v>
      </x:c>
    </x:row>
    <x:row r="14">
      <x:c r="A14" s="36" t="str">
        <x:v>Rangos de inputs</x:v>
      </x:c>
      <x:c r="B14" s="16" t="str">
        <x:v>Edad 40–69 está respaldada por la cohorte; otros min/max son guardrails UX preliminares y están marcados como tales.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23" hidden="0" customWidth="1"/>
    <x:col min="5" max="5" width="12" hidden="0" customWidth="1"/>
    <x:col min="6" max="6" width="46" hidden="0" customWidth="1"/>
    <x:col min="7" max="7" width="16" hidden="0" customWidth="1"/>
    <x:col min="8" max="8" width="14" hidden="0" customWidth="1"/>
    <x:col min="9" max="9" width="28" hidden="0" customWidth="1"/>
  </x:cols>
  <x:sheetData>
    <x:row r="1">
      <x:c r="A1" s="11" t="str">
        <x:v>campo</x:v>
      </x:c>
      <x:c r="B1" s="11" t="str">
        <x:v>tipo</x:v>
      </x:c>
      <x:c r="C1" s="11" t="str">
        <x:v>unidad</x:v>
      </x:c>
      <x:c r="D1" s="11" t="str">
        <x:v>rango/valores</x:v>
      </x:c>
      <x:c r="E1" s="11" t="str">
        <x:v>obligatorio</x:v>
      </x:c>
      <x:c r="F1" s="11" t="str">
        <x:v>descripcion</x:v>
      </x:c>
      <x:c r="G1" s="11" t="str">
        <x:v>fuente</x:v>
      </x:c>
      <x:c r="H1" s="11" t="str">
        <x:v>estado</x:v>
      </x:c>
      <x:c r="I1" s="11" t="str">
        <x:v>estado_rango</x:v>
      </x:c>
    </x:row>
    <x:row r="2">
      <x:c r="A2" s="18" t="str">
        <x:v>age_years</x:v>
      </x:c>
      <x:c r="B2" s="18" t="str">
        <x:v>integer</x:v>
      </x:c>
      <x:c r="C2" s="18" t="str">
        <x:v>años</x:v>
      </x:c>
      <x:c r="D2" s="18" t="str">
        <x:v>40–69</x:v>
      </x:c>
      <x:c r="E2" s="18" t="str">
        <x:v>sí</x:v>
      </x:c>
      <x:c r="F2" s="18" t="str">
        <x:v>Edad cronológica cumplida; entra como ln(age).</x:v>
      </x:c>
      <x:c r="G2" s="18" t="str">
        <x:v>S01</x:v>
      </x:c>
      <x:c r="H2" s="18" t="str">
        <x:v>verificado</x:v>
      </x:c>
      <x:c r="I2" t="str">
        <x:v>verificado_source_population</x:v>
      </x:c>
    </x:row>
    <x:row r="3">
      <x:c r="A3" s="18" t="str">
        <x:v>sleep_hours</x:v>
      </x:c>
      <x:c r="B3" s="18" t="str">
        <x:v>number</x:v>
      </x:c>
      <x:c r="C3" s="18" t="str">
        <x:v>h/noche</x:v>
      </x:c>
      <x:c r="D3" s="18" t="str">
        <x:v>3–12</x:v>
      </x:c>
      <x:c r="E3" s="18" t="str">
        <x:v>sí</x:v>
      </x:c>
      <x:c r="F3" s="18" t="str">
        <x:v>Sueño habitual.</x:v>
      </x:c>
      <x:c r="G3" s="18" t="str">
        <x:v>S01</x:v>
      </x:c>
      <x:c r="H3" s="18" t="str">
        <x:v>verificado</x:v>
      </x:c>
      <x:c r="I3" t="str">
        <x:v>preliminar_guardrail</x:v>
      </x:c>
    </x:row>
    <x:row r="4">
      <x:c r="A4" s="18" t="str">
        <x:v>self_rated_health</x:v>
      </x:c>
      <x:c r="B4" s="18" t="str">
        <x:v>enum</x:v>
      </x:c>
      <x:c r="C4" s="18" t="str">
        <x:v>categoría</x:v>
      </x:c>
      <x:c r="D4" s="18" t="str">
        <x:v>excellent|good|fair|poor</x:v>
      </x:c>
      <x:c r="E4" s="18" t="str">
        <x:v>sí</x:v>
      </x:c>
      <x:c r="F4" s="18" t="str">
        <x:v>Percepción de salud general.</x:v>
      </x:c>
      <x:c r="G4" s="18" t="str">
        <x:v>S01</x:v>
      </x:c>
      <x:c r="H4" s="18" t="str">
        <x:v>verificado</x:v>
      </x:c>
      <x:c r="I4" t="str">
        <x:v>categorias_verificadas</x:v>
      </x:c>
    </x:row>
    <x:row r="5">
      <x:c r="A5" s="18" t="str">
        <x:v>cigarettes_per_day</x:v>
      </x:c>
      <x:c r="B5" s="18" t="str">
        <x:v>integer</x:v>
      </x:c>
      <x:c r="C5" s="18" t="str">
        <x:v>cig/día</x:v>
      </x:c>
      <x:c r="D5" s="18" t="str">
        <x:v>0–60</x:v>
      </x:c>
      <x:c r="E5" s="18" t="str">
        <x:v>sí</x:v>
      </x:c>
      <x:c r="F5" s="18" t="str">
        <x:v>Cigarrillos actuales en día típico.</x:v>
      </x:c>
      <x:c r="G5" s="18" t="str">
        <x:v>S01</x:v>
      </x:c>
      <x:c r="H5" s="18" t="str">
        <x:v>verificado</x:v>
      </x:c>
      <x:c r="I5" t="str">
        <x:v>preliminar_guardrail</x:v>
      </x:c>
    </x:row>
    <x:row r="6">
      <x:c r="A6" s="18" t="str">
        <x:v>reaction_time_ms</x:v>
      </x:c>
      <x:c r="B6" s="18" t="str">
        <x:v>number</x:v>
      </x:c>
      <x:c r="C6" s="18" t="str">
        <x:v>ms</x:v>
      </x:c>
      <x:c r="D6" s="18" t="str">
        <x:v>250–1500</x:v>
      </x:c>
      <x:c r="E6" s="18" t="str">
        <x:v>sí</x:v>
      </x:c>
      <x:c r="F6" s="18" t="str">
        <x:v>Mediana del test de reacción en app.</x:v>
      </x:c>
      <x:c r="G6" s="18" t="str">
        <x:v>S01</x:v>
      </x:c>
      <x:c r="H6" s="18" t="str">
        <x:v>verificado</x:v>
      </x:c>
      <x:c r="I6" t="str">
        <x:v>preliminar_guardrail</x:v>
      </x:c>
    </x:row>
    <x:row r="7">
      <x:c r="A7" s="18" t="str">
        <x:v>waist_to_height_ratio</x:v>
      </x:c>
      <x:c r="B7" s="18" t="str">
        <x:v>number</x:v>
      </x:c>
      <x:c r="C7" s="18" t="str">
        <x:v>ratio</x:v>
      </x:c>
      <x:c r="D7" s="18" t="str">
        <x:v>0.30–0.90</x:v>
      </x:c>
      <x:c r="E7" s="18" t="str">
        <x:v>sí</x:v>
      </x:c>
      <x:c r="F7" s="18" t="str">
        <x:v>Cintura/altura misma unidad.</x:v>
      </x:c>
      <x:c r="G7" s="18" t="str">
        <x:v>S01</x:v>
      </x:c>
      <x:c r="H7" s="18" t="str">
        <x:v>verificado</x:v>
      </x:c>
      <x:c r="I7" t="str">
        <x:v>preliminar_guardrail</x:v>
      </x:c>
    </x:row>
    <x:row r="8">
      <x:c r="A8" s="18" t="str">
        <x:v>alcohol_units_week</x:v>
      </x:c>
      <x:c r="B8" s="18" t="str">
        <x:v>number</x:v>
      </x:c>
      <x:c r="C8" s="18" t="str">
        <x:v>UK units/week</x:v>
      </x:c>
      <x:c r="D8" s="18" t="str">
        <x:v>0–100</x:v>
      </x:c>
      <x:c r="E8" s="18" t="str">
        <x:v>sí</x:v>
      </x:c>
      <x:c r="F8" s="18" t="str">
        <x:v>1 unidad UK = 8 g etanol.</x:v>
      </x:c>
      <x:c r="G8" s="18" t="str">
        <x:v>S01,S09,S10</x:v>
      </x:c>
      <x:c r="H8" s="18" t="str">
        <x:v>verificado</x:v>
      </x:c>
      <x:c r="I8" t="str">
        <x:v>preliminar_guardrail</x:v>
      </x:c>
    </x:row>
    <x:row r="9">
      <x:c r="A9" s="18" t="str">
        <x:v>resting_hr_bpm</x:v>
      </x:c>
      <x:c r="B9" s="18" t="str">
        <x:v>integer</x:v>
      </x:c>
      <x:c r="C9" s="18" t="str">
        <x:v>bpm</x:v>
      </x:c>
      <x:c r="D9" s="18" t="str">
        <x:v>35–130</x:v>
      </x:c>
      <x:c r="E9" s="18" t="str">
        <x:v>sí</x:v>
      </x:c>
      <x:c r="F9" s="18" t="str">
        <x:v>Pulso en reposo.</x:v>
      </x:c>
      <x:c r="G9" s="18" t="str">
        <x:v>S01</x:v>
      </x:c>
      <x:c r="H9" s="18" t="str">
        <x:v>verificado</x:v>
      </x:c>
      <x:c r="I9" t="str">
        <x:v>preliminar_guardrail</x:v>
      </x:c>
    </x:row>
    <x:row r="10">
      <x:c r="A10" s="18" t="str">
        <x:v>morrow_age</x:v>
      </x:c>
      <x:c r="B10" s="18" t="str">
        <x:v>number</x:v>
      </x:c>
      <x:c r="C10" s="18" t="str">
        <x:v>años</x:v>
      </x:c>
      <x:c r="D10" s="18" t="str">
        <x:v>derivado</x:v>
      </x:c>
      <x:c r="E10" s="18" t="str">
        <x:v>no</x:v>
      </x:c>
      <x:c r="F10" s="18" t="str">
        <x:v>Edad equivalente de riesgo por inversión exacta del término ln(age).</x:v>
      </x:c>
      <x:c r="G10" s="18" t="str">
        <x:v>S01</x:v>
      </x:c>
      <x:c r="H10" s="18" t="str">
        <x:v>verificado</x:v>
      </x:c>
      <x:c r="I10" t="str">
        <x:v>derivado</x:v>
      </x:c>
    </x:row>
    <x:row r="11">
      <x:c r="A11" s="18" t="str">
        <x:v>relative_hazard</x:v>
      </x:c>
      <x:c r="B11" s="18" t="str">
        <x:v>number</x:v>
      </x:c>
      <x:c r="C11" s="18" t="str">
        <x:v>ratio</x:v>
      </x:c>
      <x:c r="D11" s="18" t="str">
        <x:v>derivado</x:v>
      </x:c>
      <x:c r="E11" s="18" t="str">
        <x:v>no</x:v>
      </x:c>
      <x:c r="F11" s="18" t="str">
        <x:v>exp(delta_lp) vs benchmark a la misma edad.</x:v>
      </x:c>
      <x:c r="G11" s="18" t="str">
        <x:v>S01</x:v>
      </x:c>
      <x:c r="H11" s="18" t="str">
        <x:v>verificado</x:v>
      </x:c>
      <x:c r="I11" t="str">
        <x:v>derivado</x:v>
      </x:c>
    </x:row>
  </x:sheetData>
  <x:conditionalFormatting sqref="H2:H11">
    <x:cfRule type="expression" dxfId="0" priority="1">
      <x:formula>H2="verificado"</x:formula>
    </x:cfRule>
  </x:conditionalFormatting>
  <x:conditionalFormatting sqref="I2:I11">
    <x:cfRule type="expression" dxfId="8" priority="2">
      <x:formula>I2="preliminar_guardrail"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40" hidden="0" customWidth="1"/>
    <x:col min="5" max="5" width="12" hidden="0" customWidth="1"/>
    <x:col min="6" max="6" width="18" hidden="0" customWidth="1"/>
    <x:col min="7" max="7" width="44" hidden="0" customWidth="1"/>
  </x:cols>
  <x:sheetData>
    <x:row r="1">
      <x:c r="A1" s="24" t="str">
        <x:v>parametro</x:v>
      </x:c>
      <x:c r="B1" s="24" t="str">
        <x:v>valor</x:v>
      </x:c>
      <x:c r="C1" s="24" t="str">
        <x:v>unidad</x:v>
      </x:c>
      <x:c r="D1" s="24" t="str">
        <x:v>fuente_url</x:v>
      </x:c>
      <x:c r="E1" s="24" t="str">
        <x:v>fecha</x:v>
      </x:c>
      <x:c r="F1" s="24" t="str">
        <x:v>estado</x:v>
      </x:c>
      <x:c r="G1" s="24" t="str">
        <x:v>nota</x:v>
      </x:c>
    </x:row>
    <x:row r="2">
      <x:c r="A2" s="18" t="str">
        <x:v>beta_log_age</x:v>
      </x:c>
      <x:c r="B2" s="20" t="n">
        <x:v>3.8622</x:v>
      </x:c>
      <x:c r="C2" s="18" t="str">
        <x:v>coef sobre ln(años)</x:v>
      </x:c>
      <x:c r="D2" s="18" t="str">
        <x:v>https://mhealth.jmir.org/2021/2/e25655</x:v>
      </x:c>
      <x:c r="E2" s="18" t="str">
        <x:v>2021-02-16</x:v>
      </x:c>
      <x:c r="F2" s="18" t="str">
        <x:v>verificado</x:v>
      </x:c>
      <x:c r="G2" s="18" t="str">
        <x:v>Modelo 3 raw-input</x:v>
      </x:c>
    </x:row>
    <x:row r="3">
      <x:c r="A3" s="18" t="str">
        <x:v>beta_sleep</x:v>
      </x:c>
      <x:c r="B3" s="20" t="n">
        <x:v>0.075</x:v>
      </x:c>
      <x:c r="C3" s="18" t="str">
        <x:v>coef/h</x:v>
      </x:c>
      <x:c r="D3" s="18" t="str">
        <x:v>https://mhealth.jmir.org/2021/2/e25655</x:v>
      </x:c>
      <x:c r="E3" s="18" t="str">
        <x:v>2021-02-16</x:v>
      </x:c>
      <x:c r="F3" s="18" t="str">
        <x:v>verificado</x:v>
      </x:c>
      <x:c r="G3" s="18" t="str"/>
    </x:row>
    <x:row r="4">
      <x:c r="A4" s="18" t="str">
        <x:v>beta_srh_good</x:v>
      </x:c>
      <x:c r="B4" s="20" t="n">
        <x:v>0.0964</x:v>
      </x:c>
      <x:c r="C4" s="18" t="str">
        <x:v>coef</x:v>
      </x:c>
      <x:c r="D4" s="18" t="str">
        <x:v>https://mhealth.jmir.org/2021/2/e25655</x:v>
      </x:c>
      <x:c r="E4" s="18" t="str">
        <x:v>2021-02-16</x:v>
      </x:c>
      <x:c r="F4" s="18" t="str">
        <x:v>verificado</x:v>
      </x:c>
      <x:c r="G4" s="18" t="str">
        <x:v>excellent es referencia 0</x:v>
      </x:c>
    </x:row>
    <x:row r="5">
      <x:c r="A5" s="18" t="str">
        <x:v>beta_srh_fair</x:v>
      </x:c>
      <x:c r="B5" s="20" t="n">
        <x:v>0.631</x:v>
      </x:c>
      <x:c r="C5" s="18" t="str">
        <x:v>coef</x:v>
      </x:c>
      <x:c r="D5" s="18" t="str">
        <x:v>https://mhealth.jmir.org/2021/2/e25655</x:v>
      </x:c>
      <x:c r="E5" s="18" t="str">
        <x:v>2021-02-16</x:v>
      </x:c>
      <x:c r="F5" s="18" t="str">
        <x:v>verificado</x:v>
      </x:c>
      <x:c r="G5" s="18" t="str"/>
    </x:row>
    <x:row r="6">
      <x:c r="A6" s="18" t="str">
        <x:v>beta_srh_poor</x:v>
      </x:c>
      <x:c r="B6" s="20" t="n">
        <x:v>2.5479</x:v>
      </x:c>
      <x:c r="C6" s="18" t="str">
        <x:v>coef</x:v>
      </x:c>
      <x:c r="D6" s="18" t="str">
        <x:v>https://mhealth.jmir.org/2021/2/e25655</x:v>
      </x:c>
      <x:c r="E6" s="18" t="str">
        <x:v>2021-02-16</x:v>
      </x:c>
      <x:c r="F6" s="18" t="str">
        <x:v>verificado</x:v>
      </x:c>
      <x:c r="G6" s="18" t="str"/>
    </x:row>
    <x:row r="7">
      <x:c r="A7" s="18" t="str">
        <x:v>beta_cigs</x:v>
      </x:c>
      <x:c r="B7" s="20" t="n">
        <x:v>0.0685</x:v>
      </x:c>
      <x:c r="C7" s="18" t="str">
        <x:v>coef/cig_d</x:v>
      </x:c>
      <x:c r="D7" s="18" t="str">
        <x:v>https://mhealth.jmir.org/2021/2/e25655</x:v>
      </x:c>
      <x:c r="E7" s="18" t="str">
        <x:v>2021-02-16</x:v>
      </x:c>
      <x:c r="F7" s="18" t="str">
        <x:v>verificado</x:v>
      </x:c>
      <x:c r="G7" s="18" t="str"/>
    </x:row>
    <x:row r="8">
      <x:c r="A8" s="18" t="str">
        <x:v>beta_reaction</x:v>
      </x:c>
      <x:c r="B8" s="20" t="n">
        <x:v>0.0008</x:v>
      </x:c>
      <x:c r="C8" s="18" t="str">
        <x:v>coef/ms</x:v>
      </x:c>
      <x:c r="D8" s="18" t="str">
        <x:v>https://mhealth.jmir.org/2021/2/e25655</x:v>
      </x:c>
      <x:c r="E8" s="18" t="str">
        <x:v>2021-02-16</x:v>
      </x:c>
      <x:c r="F8" s="18" t="str">
        <x:v>verificado</x:v>
      </x:c>
      <x:c r="G8" s="18" t="str"/>
    </x:row>
    <x:row r="9">
      <x:c r="A9" s="18" t="str">
        <x:v>beta_wthr</x:v>
      </x:c>
      <x:c r="B9" s="20" t="n">
        <x:v>1.1679</x:v>
      </x:c>
      <x:c r="C9" s="18" t="str">
        <x:v>coef/ratio</x:v>
      </x:c>
      <x:c r="D9" s="18" t="str">
        <x:v>https://mhealth.jmir.org/2021/2/e25655</x:v>
      </x:c>
      <x:c r="E9" s="18" t="str">
        <x:v>2021-02-16</x:v>
      </x:c>
      <x:c r="F9" s="18" t="str">
        <x:v>verificado</x:v>
      </x:c>
      <x:c r="G9" s="18" t="str"/>
    </x:row>
    <x:row r="10">
      <x:c r="A10" s="18" t="str">
        <x:v>beta_alcohol</x:v>
      </x:c>
      <x:c r="B10" s="20" t="n">
        <x:v>0.0077</x:v>
      </x:c>
      <x:c r="C10" s="18" t="str">
        <x:v>coef/UK_unit_week</x:v>
      </x:c>
      <x:c r="D10" s="18" t="str">
        <x:v>https://mhealth.jmir.org/2021/2/e25655</x:v>
      </x:c>
      <x:c r="E10" s="18" t="str">
        <x:v>2021-02-16</x:v>
      </x:c>
      <x:c r="F10" s="18" t="str">
        <x:v>verificado</x:v>
      </x:c>
      <x:c r="G10" s="18" t="str"/>
    </x:row>
    <x:row r="11">
      <x:c r="A11" s="18" t="str">
        <x:v>beta_rhr</x:v>
      </x:c>
      <x:c r="B11" s="20" t="n">
        <x:v>0.0133</x:v>
      </x:c>
      <x:c r="C11" s="18" t="str">
        <x:v>coef/bpm</x:v>
      </x:c>
      <x:c r="D11" s="18" t="str">
        <x:v>https://mhealth.jmir.org/2021/2/e25655</x:v>
      </x:c>
      <x:c r="E11" s="18" t="str">
        <x:v>2021-02-16</x:v>
      </x:c>
      <x:c r="F11" s="18" t="str">
        <x:v>verificado</x:v>
      </x:c>
      <x:c r="G11" s="18" t="str"/>
    </x:row>
    <x:row r="12">
      <x:c r="A12" s="18" t="str">
        <x:v>ref_sleep</x:v>
      </x:c>
      <x:c r="B12" s="20" t="n">
        <x:v>7.16</x:v>
      </x:c>
      <x:c r="C12" s="18" t="str">
        <x:v>h/noche</x:v>
      </x:c>
      <x:c r="D12" s="18" t="str">
        <x:v>https://mhealth.jmir.org/2021/2/e25655</x:v>
      </x:c>
      <x:c r="E12" s="18" t="str">
        <x:v>2021-02-16</x:v>
      </x:c>
      <x:c r="F12" s="18" t="str">
        <x:v>verificado</x:v>
      </x:c>
      <x:c r="G12" s="18" t="str">
        <x:v>Media cohorte analítica</x:v>
      </x:c>
    </x:row>
    <x:row r="13">
      <x:c r="A13" s="18" t="str">
        <x:v>ref_srh_coef</x:v>
      </x:c>
      <x:c r="B13" s="20" t="n">
        <x:v>0.29910076</x:v>
      </x:c>
      <x:c r="C13" s="18" t="str">
        <x:v>coef ponderado</x:v>
      </x:c>
      <x:c r="D13" s="18" t="str">
        <x:v>https://mhealth.jmir.org/2021/2/e25655</x:v>
      </x:c>
      <x:c r="E13" s="18" t="str">
        <x:v>2021-02-16</x:v>
      </x:c>
      <x:c r="F13" s="18" t="str">
        <x:v>verificado</x:v>
      </x:c>
      <x:c r="G13" s="18" t="str">
        <x:v>Derivado de proporciones publicadas y coeficientes</x:v>
      </x:c>
    </x:row>
    <x:row r="14">
      <x:c r="A14" s="18" t="str">
        <x:v>ref_cigs</x:v>
      </x:c>
      <x:c r="B14" s="20" t="n">
        <x:v>0</x:v>
      </x:c>
      <x:c r="C14" s="18" t="str">
        <x:v>cig/día</x:v>
      </x:c>
      <x:c r="D14" s="18" t="str">
        <x:v>definición benchmark MorrowAge v2</x:v>
      </x:c>
      <x:c r="E14" s="18" t="str">
        <x:v>2026-10-06</x:v>
      </x:c>
      <x:c r="F14" s="18" t="str">
        <x:v>verificado</x:v>
      </x:c>
      <x:c r="G14" s="18" t="str">
        <x:v>Benchmark never-smoker; NO se presenta como media poblacional</x:v>
      </x:c>
    </x:row>
    <x:row r="15">
      <x:c r="A15" s="18" t="str">
        <x:v>ref_reaction</x:v>
      </x:c>
      <x:c r="B15" s="20" t="n">
        <x:v>558.03</x:v>
      </x:c>
      <x:c r="C15" s="18" t="str">
        <x:v>ms</x:v>
      </x:c>
      <x:c r="D15" s="18" t="str">
        <x:v>https://mhealth.jmir.org/2021/2/e25655</x:v>
      </x:c>
      <x:c r="E15" s="18" t="str">
        <x:v>2021-02-16</x:v>
      </x:c>
      <x:c r="F15" s="18" t="str">
        <x:v>verificado</x:v>
      </x:c>
      <x:c r="G15" s="18" t="str">
        <x:v>Media cohorte analítica</x:v>
      </x:c>
    </x:row>
    <x:row r="16">
      <x:c r="A16" s="18" t="str">
        <x:v>ref_wthr</x:v>
      </x:c>
      <x:c r="B16" s="20" t="n">
        <x:v>0.54</x:v>
      </x:c>
      <x:c r="C16" s="18" t="str">
        <x:v>ratio</x:v>
      </x:c>
      <x:c r="D16" s="18" t="str">
        <x:v>https://mhealth.jmir.org/2021/2/e25655</x:v>
      </x:c>
      <x:c r="E16" s="18" t="str">
        <x:v>2021-02-16</x:v>
      </x:c>
      <x:c r="F16" s="18" t="str">
        <x:v>verificado</x:v>
      </x:c>
      <x:c r="G16" s="18" t="str">
        <x:v>Media cohorte analítica</x:v>
      </x:c>
    </x:row>
    <x:row r="17">
      <x:c r="A17" s="18" t="str">
        <x:v>ref_alcohol</x:v>
      </x:c>
      <x:c r="B17" s="20" t="n">
        <x:v>14.34</x:v>
      </x:c>
      <x:c r="C17" s="18" t="str">
        <x:v>UK units/week</x:v>
      </x:c>
      <x:c r="D17" s="18" t="str">
        <x:v>https://mhealth.jmir.org/2021/2/e25655</x:v>
      </x:c>
      <x:c r="E17" s="18" t="str">
        <x:v>2021-02-16</x:v>
      </x:c>
      <x:c r="F17" s="18" t="str">
        <x:v>verificado</x:v>
      </x:c>
      <x:c r="G17" s="18" t="str">
        <x:v>Media cohorte analítica</x:v>
      </x:c>
    </x:row>
    <x:row r="18">
      <x:c r="A18" s="18" t="str">
        <x:v>ref_rhr</x:v>
      </x:c>
      <x:c r="B18" s="20" t="n">
        <x:v>69.84</x:v>
      </x:c>
      <x:c r="C18" s="18" t="str">
        <x:v>bpm</x:v>
      </x:c>
      <x:c r="D18" s="18" t="str">
        <x:v>https://mhealth.jmir.org/2021/2/e25655</x:v>
      </x:c>
      <x:c r="E18" s="18" t="str">
        <x:v>2021-02-16</x:v>
      </x:c>
      <x:c r="F18" s="18" t="str">
        <x:v>verificado</x:v>
      </x:c>
      <x:c r="G18" s="18" t="str">
        <x:v>Media cohorte analítica</x:v>
      </x:c>
    </x:row>
    <x:row r="19">
      <x:c r="A19" s="18" t="str">
        <x:v>ref_nonage_lp</x:v>
      </x:c>
      <x:c r="B19" s="20" t="n">
        <x:v>2.95248076</x:v>
      </x:c>
      <x:c r="C19" s="18" t="str">
        <x:v>log-hazard</x:v>
      </x:c>
      <x:c r="D19" s="18" t="str">
        <x:v>derivado de filas 3 y 12:18</x:v>
      </x:c>
      <x:c r="E19" s="18" t="str">
        <x:v>2026-10-06</x:v>
      </x:c>
      <x:c r="F19" s="18" t="str">
        <x:v>verificado</x:v>
      </x:c>
      <x:c r="G19" s="18" t="str">
        <x:v>Recalculado: suma beta*x_ref</x:v>
      </x:c>
    </x:row>
    <x:row r="20">
      <x:c r="A20" s="18" t="str">
        <x:v>age_min</x:v>
      </x:c>
      <x:c r="B20" s="20" t="n">
        <x:v>40</x:v>
      </x:c>
      <x:c r="C20" s="18" t="str">
        <x:v>años</x:v>
      </x:c>
      <x:c r="D20" s="18" t="str">
        <x:v>https://mhealth.jmir.org/2021/2/e25655</x:v>
      </x:c>
      <x:c r="E20" s="18" t="str">
        <x:v>2021-02-16</x:v>
      </x:c>
      <x:c r="F20" s="18" t="str">
        <x:v>verificado</x:v>
      </x:c>
      <x:c r="G20" s="18" t="str">
        <x:v>Rango de reclutamiento del estudio</x:v>
      </x:c>
    </x:row>
    <x:row r="21">
      <x:c r="A21" s="18" t="str">
        <x:v>age_max</x:v>
      </x:c>
      <x:c r="B21" s="20" t="n">
        <x:v>69</x:v>
      </x:c>
      <x:c r="C21" s="18" t="str">
        <x:v>años</x:v>
      </x:c>
      <x:c r="D21" s="18" t="str">
        <x:v>https://mhealth.jmir.org/2021/2/e25655</x:v>
      </x:c>
      <x:c r="E21" s="18" t="str">
        <x:v>2021-02-16</x:v>
      </x:c>
      <x:c r="F21" s="18" t="str">
        <x:v>verificado</x:v>
      </x:c>
      <x:c r="G21" s="18" t="str">
        <x:v>Rango de reclutamiento del estudio</x:v>
      </x:c>
    </x:row>
    <x:row r="22">
      <x:c r="A22" s="18" t="str">
        <x:v>sens_sleep</x:v>
      </x:c>
      <x:c r="B22" s="20" t="n">
        <x:v>0.5</x:v>
      </x:c>
      <x:c r="C22" s="18" t="str">
        <x:v>h</x:v>
      </x:c>
      <x:c r="D22" s="18" t="str">
        <x:v>supuesto MorrowAge v2</x:v>
      </x:c>
      <x:c r="E22" s="18" t="str">
        <x:v>2026-10-06</x:v>
      </x:c>
      <x:c r="F22" s="18" t="str">
        <x:v>preliminar</x:v>
      </x:c>
      <x:c r="G22" s="18" t="str">
        <x:v>Sensibilidad de medición; no CI</x:v>
      </x:c>
    </x:row>
    <x:row r="23">
      <x:c r="A23" s="18" t="str">
        <x:v>sens_reaction</x:v>
      </x:c>
      <x:c r="B23" s="20" t="n">
        <x:v>50</x:v>
      </x:c>
      <x:c r="C23" s="18" t="str">
        <x:v>ms</x:v>
      </x:c>
      <x:c r="D23" s="18" t="str">
        <x:v>supuesto MorrowAge v2</x:v>
      </x:c>
      <x:c r="E23" s="18" t="str">
        <x:v>2026-10-06</x:v>
      </x:c>
      <x:c r="F23" s="18" t="str">
        <x:v>preliminar</x:v>
      </x:c>
      <x:c r="G23" s="18" t="str">
        <x:v>Sensibilidad de medición; no CI</x:v>
      </x:c>
    </x:row>
    <x:row r="24">
      <x:c r="A24" s="18" t="str">
        <x:v>sens_wthr</x:v>
      </x:c>
      <x:c r="B24" s="20" t="n">
        <x:v>0.02</x:v>
      </x:c>
      <x:c r="C24" s="18" t="str">
        <x:v>ratio</x:v>
      </x:c>
      <x:c r="D24" s="18" t="str">
        <x:v>supuesto MorrowAge v2</x:v>
      </x:c>
      <x:c r="E24" s="18" t="str">
        <x:v>2026-10-06</x:v>
      </x:c>
      <x:c r="F24" s="18" t="str">
        <x:v>preliminar</x:v>
      </x:c>
      <x:c r="G24" s="18" t="str">
        <x:v>Sensibilidad de medición; no CI</x:v>
      </x:c>
    </x:row>
    <x:row r="25">
      <x:c r="A25" s="18" t="str">
        <x:v>sens_alcohol</x:v>
      </x:c>
      <x:c r="B25" s="20" t="n">
        <x:v>2</x:v>
      </x:c>
      <x:c r="C25" s="18" t="str">
        <x:v>UK units/week</x:v>
      </x:c>
      <x:c r="D25" s="18" t="str">
        <x:v>supuesto MorrowAge v2</x:v>
      </x:c>
      <x:c r="E25" s="18" t="str">
        <x:v>2026-10-06</x:v>
      </x:c>
      <x:c r="F25" s="18" t="str">
        <x:v>preliminar</x:v>
      </x:c>
      <x:c r="G25" s="18" t="str">
        <x:v>Sensibilidad de medición; no CI</x:v>
      </x:c>
    </x:row>
    <x:row r="26">
      <x:c r="A26" s="18" t="str">
        <x:v>sens_rhr</x:v>
      </x:c>
      <x:c r="B26" s="20" t="n">
        <x:v>5</x:v>
      </x:c>
      <x:c r="C26" s="18" t="str">
        <x:v>bpm</x:v>
      </x:c>
      <x:c r="D26" s="18" t="str">
        <x:v>supuesto MorrowAge v2</x:v>
      </x:c>
      <x:c r="E26" s="18" t="str">
        <x:v>2026-10-06</x:v>
      </x:c>
      <x:c r="F26" s="18" t="str">
        <x:v>preliminar</x:v>
      </x:c>
      <x:c r="G26" s="18" t="str">
        <x:v>Sensibilidad de medición; no CI</x:v>
      </x:c>
    </x:row>
    <x:row r="27">
      <x:c r="A27" s="18" t="str">
        <x:v>us_drink_to_uk_units</x:v>
      </x:c>
      <x:c r="B27" s="20" t="n">
        <x:v>1.75</x:v>
      </x:c>
      <x:c r="C27" s="18" t="str">
        <x:v>UK units/US drink</x:v>
      </x:c>
      <x:c r="D27" s="18" t="str">
        <x:v>https://www.niaaa.nih.gov/health-professionals-communities/core-resource-on-alcohol/basics-defining-how-much-alcohol-too-much + https://www.nhs.uk/live-well/alcohol-advice/calculating-alcohol-units/</x:v>
      </x:c>
      <x:c r="E27" s="18" t="str">
        <x:v>2026-10-06</x:v>
      </x:c>
      <x:c r="F27" s="18" t="str">
        <x:v>verificado</x:v>
      </x:c>
      <x:c r="G27" s="18" t="str">
        <x:v>14 g / 8 g = 1.75</x:v>
      </x:c>
    </x:row>
    <x:row r="28">
      <x:c r="A28" s="16" t="str">
        <x:v>guardrail_sleep_min</x:v>
      </x:c>
      <x:c r="B28" s="30" t="n">
        <x:v>3</x:v>
      </x:c>
      <x:c r="C28" s="16" t="str">
        <x:v>h/noche</x:v>
      </x:c>
      <x:c r="D28" s="16" t="str">
        <x:v>inputs.schema.json / MorrowAge v2.1</x:v>
      </x:c>
      <x:c r="E28" s="16" t="str">
        <x:v>2026-10-06</x:v>
      </x:c>
      <x:c r="F28" s="16" t="str">
        <x:v>preliminar</x:v>
      </x:c>
      <x:c r="G28" s="16" t="str">
        <x:v>Guardrail operativo; no es mínimo de entrenamiento publicado</x:v>
      </x:c>
    </x:row>
    <x:row r="29">
      <x:c r="A29" s="16" t="str">
        <x:v>guardrail_sleep_max</x:v>
      </x:c>
      <x:c r="B29" s="16" t="n">
        <x:v>12</x:v>
      </x:c>
      <x:c r="C29" s="16" t="str">
        <x:v>h/noche</x:v>
      </x:c>
      <x:c r="D29" s="16" t="str">
        <x:v>inputs.schema.json / MorrowAge v2.1</x:v>
      </x:c>
      <x:c r="E29" s="16" t="str">
        <x:v>2026-10-06</x:v>
      </x:c>
      <x:c r="F29" s="16" t="str">
        <x:v>preliminar</x:v>
      </x:c>
      <x:c r="G29" s="16" t="str">
        <x:v>Guardrail operativo; no es máximo de entrenamiento publicado</x:v>
      </x:c>
    </x:row>
    <x:row r="30">
      <x:c r="A30" s="16" t="str">
        <x:v>guardrail_reaction_min</x:v>
      </x:c>
      <x:c r="B30" s="16" t="n">
        <x:v>250</x:v>
      </x:c>
      <x:c r="C30" s="16" t="str">
        <x:v>ms</x:v>
      </x:c>
      <x:c r="D30" s="16" t="str">
        <x:v>inputs.schema.json / MorrowAge v2.1</x:v>
      </x:c>
      <x:c r="E30" s="16" t="str">
        <x:v>2026-10-06</x:v>
      </x:c>
      <x:c r="F30" s="16" t="str">
        <x:v>preliminar</x:v>
      </x:c>
      <x:c r="G30" s="16" t="str">
        <x:v>Guardrail operativo</x:v>
      </x:c>
    </x:row>
    <x:row r="31">
      <x:c r="A31" s="16" t="str">
        <x:v>guardrail_reaction_max</x:v>
      </x:c>
      <x:c r="B31" s="16" t="n">
        <x:v>1500</x:v>
      </x:c>
      <x:c r="C31" s="16" t="str">
        <x:v>ms</x:v>
      </x:c>
      <x:c r="D31" s="16" t="str">
        <x:v>inputs.schema.json / MorrowAge v2.1</x:v>
      </x:c>
      <x:c r="E31" s="16" t="str">
        <x:v>2026-10-06</x:v>
      </x:c>
      <x:c r="F31" s="16" t="str">
        <x:v>preliminar</x:v>
      </x:c>
      <x:c r="G31" s="16" t="str">
        <x:v>Guardrail operativo</x:v>
      </x:c>
    </x:row>
    <x:row r="32">
      <x:c r="A32" s="16" t="str">
        <x:v>guardrail_wthr_min</x:v>
      </x:c>
      <x:c r="B32" s="16" t="n">
        <x:v>0.3</x:v>
      </x:c>
      <x:c r="C32" s="16" t="str">
        <x:v>ratio</x:v>
      </x:c>
      <x:c r="D32" s="16" t="str">
        <x:v>inputs.schema.json / MorrowAge v2.1</x:v>
      </x:c>
      <x:c r="E32" s="16" t="str">
        <x:v>2026-10-06</x:v>
      </x:c>
      <x:c r="F32" s="16" t="str">
        <x:v>preliminar</x:v>
      </x:c>
      <x:c r="G32" s="16" t="str">
        <x:v>Guardrail operativo</x:v>
      </x:c>
    </x:row>
    <x:row r="33">
      <x:c r="A33" s="16" t="str">
        <x:v>guardrail_wthr_max</x:v>
      </x:c>
      <x:c r="B33" s="16" t="n">
        <x:v>0.9</x:v>
      </x:c>
      <x:c r="C33" s="16" t="str">
        <x:v>ratio</x:v>
      </x:c>
      <x:c r="D33" s="16" t="str">
        <x:v>inputs.schema.json / MorrowAge v2.1</x:v>
      </x:c>
      <x:c r="E33" s="16" t="str">
        <x:v>2026-10-06</x:v>
      </x:c>
      <x:c r="F33" s="16" t="str">
        <x:v>preliminar</x:v>
      </x:c>
      <x:c r="G33" s="16" t="str">
        <x:v>Guardrail operativo</x:v>
      </x:c>
    </x:row>
    <x:row r="34">
      <x:c r="A34" s="16" t="str">
        <x:v>guardrail_alcohol_min</x:v>
      </x:c>
      <x:c r="B34" s="16" t="n">
        <x:v>0</x:v>
      </x:c>
      <x:c r="C34" s="16" t="str">
        <x:v>UK units/week</x:v>
      </x:c>
      <x:c r="D34" s="16" t="str">
        <x:v>inputs.schema.json / MorrowAge v2.1</x:v>
      </x:c>
      <x:c r="E34" s="16" t="str">
        <x:v>2026-10-06</x:v>
      </x:c>
      <x:c r="F34" s="16" t="str">
        <x:v>preliminar</x:v>
      </x:c>
      <x:c r="G34" s="16" t="str">
        <x:v>Guardrail operativo</x:v>
      </x:c>
    </x:row>
    <x:row r="35">
      <x:c r="A35" s="16" t="str">
        <x:v>guardrail_alcohol_max</x:v>
      </x:c>
      <x:c r="B35" s="16" t="n">
        <x:v>100</x:v>
      </x:c>
      <x:c r="C35" s="16" t="str">
        <x:v>UK units/week</x:v>
      </x:c>
      <x:c r="D35" s="16" t="str">
        <x:v>inputs.schema.json / MorrowAge v2.1</x:v>
      </x:c>
      <x:c r="E35" s="16" t="str">
        <x:v>2026-10-06</x:v>
      </x:c>
      <x:c r="F35" s="16" t="str">
        <x:v>preliminar</x:v>
      </x:c>
      <x:c r="G35" s="16" t="str">
        <x:v>Guardrail operativo</x:v>
      </x:c>
    </x:row>
    <x:row r="36">
      <x:c r="A36" s="16" t="str">
        <x:v>guardrail_rhr_min</x:v>
      </x:c>
      <x:c r="B36" s="16" t="n">
        <x:v>35</x:v>
      </x:c>
      <x:c r="C36" s="16" t="str">
        <x:v>bpm</x:v>
      </x:c>
      <x:c r="D36" s="16" t="str">
        <x:v>inputs.schema.json / MorrowAge v2.1</x:v>
      </x:c>
      <x:c r="E36" s="16" t="str">
        <x:v>2026-10-06</x:v>
      </x:c>
      <x:c r="F36" s="16" t="str">
        <x:v>preliminar</x:v>
      </x:c>
      <x:c r="G36" s="16" t="str">
        <x:v>Guardrail operativo</x:v>
      </x:c>
    </x:row>
    <x:row r="37">
      <x:c r="A37" s="16" t="str">
        <x:v>guardrail_rhr_max</x:v>
      </x:c>
      <x:c r="B37" s="16" t="n">
        <x:v>130</x:v>
      </x:c>
      <x:c r="C37" s="16" t="str">
        <x:v>bpm</x:v>
      </x:c>
      <x:c r="D37" s="16" t="str">
        <x:v>inputs.schema.json / MorrowAge v2.1</x:v>
      </x:c>
      <x:c r="E37" s="16" t="str">
        <x:v>2026-10-06</x:v>
      </x:c>
      <x:c r="F37" s="16" t="str">
        <x:v>preliminar</x:v>
      </x:c>
      <x:c r="G37" s="16" t="str">
        <x:v>Guardrail operativo</x:v>
      </x:c>
    </x:row>
  </x:sheetData>
  <x:conditionalFormatting sqref="F2:F27">
    <x:cfRule type="expression" dxfId="1" priority="1">
      <x:formula>F2="verificado"</x:formula>
    </x:cfRule>
    <x:cfRule type="expression" dxfId="2" priority="2">
      <x:formula>F2="preliminar"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8" hidden="0" customWidth="1"/>
    <x:col min="4" max="4" width="20" hidden="0" customWidth="1"/>
    <x:col min="5" max="5" width="50" hidden="0" customWidth="1"/>
    <x:col min="6" max="6" width="13" hidden="0" customWidth="1"/>
    <x:col min="7" max="7" width="14" hidden="0" customWidth="1"/>
    <x:col min="8" max="8" width="42" hidden="0" customWidth="1"/>
  </x:cols>
  <x:sheetData>
    <x:row r="1">
      <x:c r="A1" s="11" t="str">
        <x:v>variable</x:v>
      </x:c>
      <x:c r="B1" s="11" t="str">
        <x:v>valor</x:v>
      </x:c>
      <x:c r="C1" s="11" t="str">
        <x:v>unidad</x:v>
      </x:c>
      <x:c r="D1" s="11" t="str">
        <x:v>tipo</x:v>
      </x:c>
      <x:c r="E1" s="11" t="str">
        <x:v>fuente_url</x:v>
      </x:c>
      <x:c r="F1" s="11" t="str">
        <x:v>fecha</x:v>
      </x:c>
      <x:c r="G1" s="11" t="str">
        <x:v>estado</x:v>
      </x:c>
      <x:c r="H1" s="11" t="str">
        <x:v>nota</x:v>
      </x:c>
    </x:row>
    <x:row r="2">
      <x:c r="A2" s="18" t="str">
        <x:v>sleep_hours</x:v>
      </x:c>
      <x:c r="B2" s="18" t="n">
        <x:v>7.16</x:v>
      </x:c>
      <x:c r="C2" s="18" t="str">
        <x:v>h/noche</x:v>
      </x:c>
      <x:c r="D2" s="18" t="str">
        <x:v>media UKB</x:v>
      </x:c>
      <x:c r="E2" s="18" t="str">
        <x:v>https://mhealth.jmir.org/2021/2/e25655</x:v>
      </x:c>
      <x:c r="F2" s="18" t="str">
        <x:v>2021-02-16</x:v>
      </x:c>
      <x:c r="G2" s="18" t="str">
        <x:v>verificado</x:v>
      </x:c>
      <x:c r="H2" s="18" t="str"/>
    </x:row>
    <x:row r="3">
      <x:c r="A3" s="18" t="str">
        <x:v>self_rated_health_excellent</x:v>
      </x:c>
      <x:c r="B3" s="18" t="n">
        <x:v>16.39</x:v>
      </x:c>
      <x:c r="C3" s="18" t="str">
        <x:v>%</x:v>
      </x:c>
      <x:c r="D3" s="18" t="str">
        <x:v>proporción UKB</x:v>
      </x:c>
      <x:c r="E3" s="18" t="str">
        <x:v>https://mhealth.jmir.org/2021/2/e25655</x:v>
      </x:c>
      <x:c r="F3" s="18" t="str">
        <x:v>2021-02-16</x:v>
      </x:c>
      <x:c r="G3" s="18" t="str">
        <x:v>verificado</x:v>
      </x:c>
      <x:c r="H3" s="18" t="str"/>
    </x:row>
    <x:row r="4">
      <x:c r="A4" s="18" t="str">
        <x:v>self_rated_health_good</x:v>
      </x:c>
      <x:c r="B4" s="18" t="n">
        <x:v>58.3</x:v>
      </x:c>
      <x:c r="C4" s="18" t="str">
        <x:v>%</x:v>
      </x:c>
      <x:c r="D4" s="18" t="str">
        <x:v>proporción UKB</x:v>
      </x:c>
      <x:c r="E4" s="18" t="str">
        <x:v>https://mhealth.jmir.org/2021/2/e25655</x:v>
      </x:c>
      <x:c r="F4" s="18" t="str">
        <x:v>2021-02-16</x:v>
      </x:c>
      <x:c r="G4" s="18" t="str">
        <x:v>verificado</x:v>
      </x:c>
      <x:c r="H4" s="18" t="str"/>
    </x:row>
    <x:row r="5">
      <x:c r="A5" s="18" t="str">
        <x:v>self_rated_health_fair</x:v>
      </x:c>
      <x:c r="B5" s="18" t="n">
        <x:v>20.97</x:v>
      </x:c>
      <x:c r="C5" s="18" t="str">
        <x:v>%</x:v>
      </x:c>
      <x:c r="D5" s="18" t="str">
        <x:v>proporción UKB</x:v>
      </x:c>
      <x:c r="E5" s="18" t="str">
        <x:v>https://mhealth.jmir.org/2021/2/e25655</x:v>
      </x:c>
      <x:c r="F5" s="18" t="str">
        <x:v>2021-02-16</x:v>
      </x:c>
      <x:c r="G5" s="18" t="str">
        <x:v>verificado</x:v>
      </x:c>
      <x:c r="H5" s="18" t="str"/>
    </x:row>
    <x:row r="6">
      <x:c r="A6" s="18" t="str">
        <x:v>self_rated_health_poor</x:v>
      </x:c>
      <x:c r="B6" s="18" t="n">
        <x:v>4.34</x:v>
      </x:c>
      <x:c r="C6" s="18" t="str">
        <x:v>%</x:v>
      </x:c>
      <x:c r="D6" s="18" t="str">
        <x:v>proporción UKB</x:v>
      </x:c>
      <x:c r="E6" s="18" t="str">
        <x:v>https://mhealth.jmir.org/2021/2/e25655</x:v>
      </x:c>
      <x:c r="F6" s="18" t="str">
        <x:v>2021-02-16</x:v>
      </x:c>
      <x:c r="G6" s="18" t="str">
        <x:v>verificado</x:v>
      </x:c>
      <x:c r="H6" s="18" t="str"/>
    </x:row>
    <x:row r="7">
      <x:c r="A7" s="18" t="str">
        <x:v>reaction_time_ms</x:v>
      </x:c>
      <x:c r="B7" s="18" t="n">
        <x:v>558.03</x:v>
      </x:c>
      <x:c r="C7" s="18" t="str">
        <x:v>ms</x:v>
      </x:c>
      <x:c r="D7" s="18" t="str">
        <x:v>media UKB</x:v>
      </x:c>
      <x:c r="E7" s="18" t="str">
        <x:v>https://mhealth.jmir.org/2021/2/e25655</x:v>
      </x:c>
      <x:c r="F7" s="18" t="str">
        <x:v>2021-02-16</x:v>
      </x:c>
      <x:c r="G7" s="18" t="str">
        <x:v>verificado</x:v>
      </x:c>
      <x:c r="H7" s="18" t="str"/>
    </x:row>
    <x:row r="8">
      <x:c r="A8" s="18" t="str">
        <x:v>waist_to_height_ratio</x:v>
      </x:c>
      <x:c r="B8" s="18" t="n">
        <x:v>0.54</x:v>
      </x:c>
      <x:c r="C8" s="18" t="str">
        <x:v>ratio</x:v>
      </x:c>
      <x:c r="D8" s="18" t="str">
        <x:v>media UKB</x:v>
      </x:c>
      <x:c r="E8" s="18" t="str">
        <x:v>https://mhealth.jmir.org/2021/2/e25655</x:v>
      </x:c>
      <x:c r="F8" s="18" t="str">
        <x:v>2021-02-16</x:v>
      </x:c>
      <x:c r="G8" s="18" t="str">
        <x:v>verificado</x:v>
      </x:c>
      <x:c r="H8" s="18" t="str"/>
    </x:row>
    <x:row r="9">
      <x:c r="A9" s="18" t="str">
        <x:v>alcohol_units_week</x:v>
      </x:c>
      <x:c r="B9" s="18" t="n">
        <x:v>14.34</x:v>
      </x:c>
      <x:c r="C9" s="18" t="str">
        <x:v>UK units/week</x:v>
      </x:c>
      <x:c r="D9" s="18" t="str">
        <x:v>media UKB</x:v>
      </x:c>
      <x:c r="E9" s="18" t="str">
        <x:v>https://mhealth.jmir.org/2021/2/e25655</x:v>
      </x:c>
      <x:c r="F9" s="18" t="str">
        <x:v>2021-02-16</x:v>
      </x:c>
      <x:c r="G9" s="18" t="str">
        <x:v>verificado</x:v>
      </x:c>
      <x:c r="H9" s="18" t="str"/>
    </x:row>
    <x:row r="10">
      <x:c r="A10" s="18" t="str">
        <x:v>resting_hr_bpm</x:v>
      </x:c>
      <x:c r="B10" s="18" t="n">
        <x:v>69.84</x:v>
      </x:c>
      <x:c r="C10" s="18" t="str">
        <x:v>bpm</x:v>
      </x:c>
      <x:c r="D10" s="18" t="str">
        <x:v>media UKB</x:v>
      </x:c>
      <x:c r="E10" s="18" t="str">
        <x:v>https://mhealth.jmir.org/2021/2/e25655</x:v>
      </x:c>
      <x:c r="F10" s="18" t="str">
        <x:v>2021-02-16</x:v>
      </x:c>
      <x:c r="G10" s="18" t="str">
        <x:v>verificado</x:v>
      </x:c>
      <x:c r="H10" s="18" t="str"/>
    </x:row>
    <x:row r="11">
      <x:c r="A11" s="18" t="str">
        <x:v>cigarettes_per_day</x:v>
      </x:c>
      <x:c r="B11" s="18" t="n">
        <x:v>0</x:v>
      </x:c>
      <x:c r="C11" s="18" t="str">
        <x:v>cig/día</x:v>
      </x:c>
      <x:c r="D11" s="18" t="str">
        <x:v>benchmark de diseño</x:v>
      </x:c>
      <x:c r="E11" s="18" t="str">
        <x:v>definición MorrowAge v2</x:v>
      </x:c>
      <x:c r="F11" s="18" t="str">
        <x:v>2026-10-06</x:v>
      </x:c>
      <x:c r="G11" s="18" t="str">
        <x:v>verificado</x:v>
      </x:c>
      <x:c r="H11" s="18" t="str">
        <x:v>Never-smoker benchmark; no media UKB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0" hidden="0" customWidth="1"/>
    <x:col min="4" max="4" width="24" hidden="0" customWidth="1"/>
    <x:col min="5" max="5" width="65" hidden="0" customWidth="1"/>
    <x:col min="6" max="6" width="13" hidden="0" customWidth="1"/>
    <x:col min="7" max="7" width="14" hidden="0" customWidth="1"/>
  </x:cols>
  <x:sheetData>
    <x:row r="1">
      <x:c r="A1" s="11" t="str">
        <x:v>conversion</x:v>
      </x:c>
      <x:c r="B1" s="11" t="str">
        <x:v>origen</x:v>
      </x:c>
      <x:c r="C1" s="11" t="str">
        <x:v>destino</x:v>
      </x:c>
      <x:c r="D1" s="11" t="str">
        <x:v>factor/formula</x:v>
      </x:c>
      <x:c r="E1" s="11" t="str">
        <x:v>fuente_url</x:v>
      </x:c>
      <x:c r="F1" s="11" t="str">
        <x:v>fecha</x:v>
      </x:c>
      <x:c r="G1" s="11" t="str">
        <x:v>estado</x:v>
      </x:c>
    </x:row>
    <x:row r="2">
      <x:c r="A2" s="18" t="str">
        <x:v>US standard drink → UK unit</x:v>
      </x:c>
      <x:c r="B2" s="18" t="str">
        <x:v>1 US drink = 14 g ethanol</x:v>
      </x:c>
      <x:c r="C2" s="18" t="str">
        <x:v>UK unit = 8 g ethanol</x:v>
      </x:c>
      <x:c r="D2" s="18" t="str">
        <x:v>x 1.75</x:v>
      </x:c>
      <x:c r="E2" s="18" t="str">
        <x:v>https://www.niaaa.nih.gov/health-professionals-communities/core-resource-on-alcohol/basics-defining-how-much-alcohol-too-much | https://www.nhs.uk/live-well/alcohol-advice/calculating-alcohol-units/</x:v>
      </x:c>
      <x:c r="F2" s="18" t="str">
        <x:v>2026-10-06</x:v>
      </x:c>
      <x:c r="G2" s="18" t="str">
        <x:v>verificado</x:v>
      </x:c>
    </x:row>
    <x:row r="3">
      <x:c r="A3" s="18" t="str">
        <x:v>grams ethanol → UK unit</x:v>
      </x:c>
      <x:c r="B3" s="18" t="str">
        <x:v>g ethanol</x:v>
      </x:c>
      <x:c r="C3" s="18" t="str">
        <x:v>UK units</x:v>
      </x:c>
      <x:c r="D3" s="18" t="str">
        <x:v>grams / 8</x:v>
      </x:c>
      <x:c r="E3" s="18" t="str">
        <x:v>https://www.nhs.uk/live-well/alcohol-advice/calculating-alcohol-units/</x:v>
      </x:c>
      <x:c r="F3" s="18" t="str">
        <x:v>2026-10-06</x:v>
      </x:c>
      <x:c r="G3" s="18" t="str">
        <x:v>verificado</x:v>
      </x:c>
    </x:row>
    <x:row r="4">
      <x:c r="A4" s="18" t="str">
        <x:v>waist/height metric</x:v>
      </x:c>
      <x:c r="B4" s="18" t="str">
        <x:v>cm/cm</x:v>
      </x:c>
      <x:c r="C4" s="18" t="str">
        <x:v>ratio</x:v>
      </x:c>
      <x:c r="D4" s="18" t="str">
        <x:v>waist_cm / height_cm</x:v>
      </x:c>
      <x:c r="E4" s="18" t="str">
        <x:v>definición matemática</x:v>
      </x:c>
      <x:c r="F4" s="18" t="str">
        <x:v>2026-10-06</x:v>
      </x:c>
      <x:c r="G4" s="18" t="str">
        <x:v>verificado</x:v>
      </x:c>
    </x:row>
    <x:row r="5">
      <x:c r="A5" s="18" t="str">
        <x:v>waist/height imperial</x:v>
      </x:c>
      <x:c r="B5" s="18" t="str">
        <x:v>in/in</x:v>
      </x:c>
      <x:c r="C5" s="18" t="str">
        <x:v>ratio</x:v>
      </x:c>
      <x:c r="D5" s="18" t="str">
        <x:v>waist_in / height_in</x:v>
      </x:c>
      <x:c r="E5" s="18" t="str">
        <x:v>definición matemática</x:v>
      </x:c>
      <x:c r="F5" s="18" t="str">
        <x:v>2026-10-06</x:v>
      </x:c>
      <x:c r="G5" s="18" t="str">
        <x:v>verificado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8" hidden="0" customWidth="1"/>
    <x:col min="4" max="4" width="42" hidden="0" customWidth="1"/>
    <x:col min="5" max="5" width="18" hidden="0" customWidth="1"/>
    <x:col min="6" max="6" width="14" hidden="0" customWidth="1"/>
    <x:col min="7" max="7" width="52" hidden="0" customWidth="1"/>
  </x:cols>
  <x:sheetData>
    <x:row r="1">
      <x:c r="A1" s="11" t="str">
        <x:v>mercado</x:v>
      </x:c>
      <x:c r="B1" s="11" t="str">
        <x:v>moneda</x:v>
      </x:c>
      <x:c r="C1" s="11" t="str">
        <x:v>precio_etapa1</x:v>
      </x:c>
      <x:c r="D1" s="11" t="str">
        <x:v>calibracion_modelo</x:v>
      </x:c>
      <x:c r="E1" s="11" t="str">
        <x:v>percentil_pais</x:v>
      </x:c>
      <x:c r="F1" s="11" t="str">
        <x:v>estado</x:v>
      </x:c>
      <x:c r="G1" s="11" t="str">
        <x:v>nota</x:v>
      </x:c>
    </x:row>
    <x:row r="2">
      <x:c r="A2" s="18" t="str">
        <x:v>US</x:v>
      </x:c>
      <x:c r="B2" s="18" t="str">
        <x:v>USD</x:v>
      </x:c>
      <x:c r="C2" s="18" t="str">
        <x:v>19</x:v>
      </x:c>
      <x:c r="D2" s="18" t="str">
        <x:v>pendiente NHANES linked mortality</x:v>
      </x:c>
      <x:c r="E2" s="18" t="str">
        <x:v>bloqueado</x:v>
      </x:c>
      <x:c r="F2" s="18" t="str">
        <x:v>preliminar</x:v>
      </x:c>
      <x:c r="G2" s="18" t="str">
        <x:v>MVP comercial; salida relativa solo hasta recalibración</x:v>
      </x:c>
    </x:row>
    <x:row r="3">
      <x:c r="A3" s="18" t="str">
        <x:v>UK</x:v>
      </x:c>
      <x:c r="B3" s="18" t="str">
        <x:v>GBP</x:v>
      </x:c>
      <x:c r="C3" s="18" t="str">
        <x:v>15</x:v>
      </x:c>
      <x:c r="D3" s="18" t="str">
        <x:v>UKB no equivale a población nacional calibrada</x:v>
      </x:c>
      <x:c r="E3" s="18" t="str">
        <x:v>bloqueado</x:v>
      </x:c>
      <x:c r="F3" s="18" t="str">
        <x:v>preliminar</x:v>
      </x:c>
      <x:c r="G3" s="18" t="str">
        <x:v>Validación local requerida</x:v>
      </x:c>
    </x:row>
    <x:row r="4">
      <x:c r="A4" s="18" t="str">
        <x:v>Canada</x:v>
      </x:c>
      <x:c r="B4" s="18" t="str">
        <x:v>CAD</x:v>
      </x:c>
      <x:c r="C4" s="18" t="str">
        <x:v>25</x:v>
      </x:c>
      <x:c r="D4" s="18" t="str">
        <x:v>no realizada</x:v>
      </x:c>
      <x:c r="E4" s="18" t="str">
        <x:v>bloqueado</x:v>
      </x:c>
      <x:c r="F4" s="18" t="str">
        <x:v>preliminar</x:v>
      </x:c>
      <x:c r="G4" s="18" t="str"/>
    </x:row>
    <x:row r="5">
      <x:c r="A5" s="18" t="str">
        <x:v>Australia</x:v>
      </x:c>
      <x:c r="B5" s="18" t="str">
        <x:v>AUD</x:v>
      </x:c>
      <x:c r="C5" s="18" t="str">
        <x:v>29</x:v>
      </x:c>
      <x:c r="D5" s="18" t="str">
        <x:v>no realizada</x:v>
      </x:c>
      <x:c r="E5" s="18" t="str">
        <x:v>bloqueado</x:v>
      </x:c>
      <x:c r="F5" s="18" t="str">
        <x:v>preliminar</x:v>
      </x:c>
      <x:c r="G5" s="18" t="str"/>
    </x:row>
    <x:row r="6">
      <x:c r="A6" s="18" t="str">
        <x:v>Brazil</x:v>
      </x:c>
      <x:c r="B6" s="18" t="str">
        <x:v>BRL</x:v>
      </x:c>
      <x:c r="C6" s="18" t="str">
        <x:v>49</x:v>
      </x:c>
      <x:c r="D6" s="18" t="str">
        <x:v>no realizada</x:v>
      </x:c>
      <x:c r="E6" s="18" t="str">
        <x:v>bloqueado</x:v>
      </x:c>
      <x:c r="F6" s="18" t="str">
        <x:v>preliminar</x:v>
      </x:c>
      <x:c r="G6" s="18" t="str"/>
    </x:row>
    <x:row r="7">
      <x:c r="A7" s="18" t="str">
        <x:v>Peru</x:v>
      </x:c>
      <x:c r="B7" s="18" t="str">
        <x:v>PEN</x:v>
      </x:c>
      <x:c r="C7" s="18" t="str">
        <x:v>39</x:v>
      </x:c>
      <x:c r="D7" s="18" t="str">
        <x:v>no realizada</x:v>
      </x:c>
      <x:c r="E7" s="18" t="str">
        <x:v>bloqueado</x:v>
      </x:c>
      <x:c r="F7" s="18" t="str">
        <x:v>preliminar</x:v>
      </x:c>
      <x:c r="G7" s="18" t="str"/>
    </x:row>
  </x:sheetData>
  <x:conditionalFormatting sqref="F2:F7">
    <x:cfRule type="expression" dxfId="3" priority="1">
      <x:formula>F2="preliminar"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3" max="3" width="18" hidden="0" customWidth="1"/>
    <x:col min="4" max="4" width="24" hidden="0" customWidth="1"/>
    <x:col min="5" max="5" width="24" hidden="0" customWidth="1"/>
  </x:cols>
  <x:sheetData>
    <x:row r="1">
      <x:c r="A1" s="4" t="str">
        <x:v>Motor de referencia · caso de ejemplo</x:v>
      </x:c>
      <x:c r="B1" s="4"/>
      <x:c r="C1" s="4"/>
      <x:c r="D1" s="4"/>
    </x:row>
    <x:row r="3">
      <x:c r="A3" s="24" t="str">
        <x:v>Input</x:v>
      </x:c>
      <x:c r="B3" s="24" t="str">
        <x:v>Valor</x:v>
      </x:c>
      <x:c r="C3" s="24" t="str">
        <x:v>Unidad</x:v>
      </x:c>
      <x:c r="D3" s="24" t="str">
        <x:v>Nota</x:v>
      </x:c>
      <x:c r="F3" t="str">
        <x:v>Métrica</x:v>
      </x:c>
      <x:c r="G3" t="str">
        <x:v>Años</x:v>
      </x:c>
    </x:row>
    <x:row r="4">
      <x:c r="A4" s="16" t="str">
        <x:v>age_years</x:v>
      </x:c>
      <x:c r="B4" s="16" t="n">
        <x:v>52</x:v>
      </x:c>
      <x:c r="C4" s="16" t="str">
        <x:v>años</x:v>
      </x:c>
      <x:c r="D4" s="16" t="str">
        <x:v>40–69</x:v>
      </x:c>
      <x:c r="F4" t="str">
        <x:v>Edad cronológica</x:v>
      </x:c>
      <x:c r="G4" t="n">
        <x:v>52</x:v>
      </x:c>
    </x:row>
    <x:row r="5">
      <x:c r="A5" s="16" t="str">
        <x:v>sleep_hours</x:v>
      </x:c>
      <x:c r="B5" s="16" t="n">
        <x:v>7</x:v>
      </x:c>
      <x:c r="C5" s="16" t="str">
        <x:v>h/noche</x:v>
      </x:c>
      <x:c r="D5" s="16" t="str"/>
      <x:c r="F5" t="str">
        <x:v>MorrowAge</x:v>
      </x:c>
      <x:c r="G5" t="n">
        <x:f>B18</x:f>
        <x:v>47.69855112564777</x:v>
      </x:c>
    </x:row>
    <x:row r="6">
      <x:c r="A6" s="16" t="str">
        <x:v>self_rated_health</x:v>
      </x:c>
      <x:c r="B6" s="16" t="str">
        <x:v>good</x:v>
      </x:c>
      <x:c r="C6" s="16" t="str">
        <x:v>categoría</x:v>
      </x:c>
      <x:c r="D6" s="16" t="str">
        <x:v>excellent/good/fair/poor</x:v>
      </x:c>
    </x:row>
    <x:row r="7">
      <x:c r="A7" s="16" t="str">
        <x:v>cigarettes_per_day</x:v>
      </x:c>
      <x:c r="B7" s="16" t="n">
        <x:v>0</x:v>
      </x:c>
      <x:c r="C7" s="16" t="str">
        <x:v>cig/día</x:v>
      </x:c>
      <x:c r="D7" s="16" t="str"/>
    </x:row>
    <x:row r="8">
      <x:c r="A8" s="16" t="str">
        <x:v>reaction_time_ms</x:v>
      </x:c>
      <x:c r="B8" s="16" t="n">
        <x:v>540</x:v>
      </x:c>
      <x:c r="C8" s="16" t="str">
        <x:v>ms</x:v>
      </x:c>
      <x:c r="D8" s="16" t="str"/>
    </x:row>
    <x:row r="9">
      <x:c r="A9" s="16" t="str">
        <x:v>waist_to_height_ratio</x:v>
      </x:c>
      <x:c r="B9" s="16" t="n">
        <x:v>0.52</x:v>
      </x:c>
      <x:c r="C9" s="16" t="str">
        <x:v>ratio</x:v>
      </x:c>
      <x:c r="D9" s="16" t="str"/>
    </x:row>
    <x:row r="10">
      <x:c r="A10" s="16" t="str">
        <x:v>alcohol_units_week</x:v>
      </x:c>
      <x:c r="B10" s="16" t="n">
        <x:v>7</x:v>
      </x:c>
      <x:c r="C10" s="16" t="str">
        <x:v>UK units/week</x:v>
      </x:c>
      <x:c r="D10" s="16" t="str"/>
    </x:row>
    <x:row r="11">
      <x:c r="A11" s="16" t="str">
        <x:v>resting_hr_bpm</x:v>
      </x:c>
      <x:c r="B11" s="16" t="n">
        <x:v>68</x:v>
      </x:c>
      <x:c r="C11" s="16" t="str">
        <x:v>bpm</x:v>
      </x:c>
      <x:c r="D11" s="16" t="str"/>
    </x:row>
    <x:row r="12">
      <x:c r="A12" s="16"/>
      <x:c r="B12" s="16"/>
      <x:c r="C12" s="16"/>
      <x:c r="D12" s="16"/>
    </x:row>
    <x:row r="13">
      <x:c r="A13" s="24" t="str">
        <x:v>Output</x:v>
      </x:c>
      <x:c r="B13" s="24" t="str">
        <x:v>Fórmula Excel viva</x:v>
      </x:c>
      <x:c r="C13" s="24" t="str">
        <x:v>Unidad</x:v>
      </x:c>
      <x:c r="D13" s="24" t="str">
        <x:v>engine_reference.py</x:v>
      </x:c>
      <x:c r="E13" s="11" t="str">
        <x:v>Diferencia Excel - engine</x:v>
      </x:c>
    </x:row>
    <x:row r="14">
      <x:c r="A14" s="16" t="str">
        <x:v>eta_nonage</x:v>
      </x:c>
      <x:c r="B14" s="26" t="n">
        <x:f>Parametros!$B$3*B5+IF(B6="excellent",0,IF(B6="good",Parametros!$B$4,IF(B6="fair",Parametros!$B$5,IF(B6="poor",Parametros!$B$6,"#N/A"))))+Parametros!$B$7*B7+Parametros!$B$8*B8+Parametros!$B$9*B9+Parametros!$B$10*B10+Parametros!$B$11*B11</x:f>
        <x:v>2.619008</x:v>
      </x:c>
      <x:c r="C14" s="16" t="str">
        <x:v>log-hazard</x:v>
      </x:c>
      <x:c r="D14" s="30" t="n">
        <x:v>2.619008</x:v>
      </x:c>
      <x:c r="E14" s="21" t="n">
        <x:f>B14-D14</x:f>
        <x:v>0</x:v>
      </x:c>
    </x:row>
    <x:row r="15">
      <x:c r="A15" s="16" t="str">
        <x:v>ref_nonage_lp</x:v>
      </x:c>
      <x:c r="B15" s="26" t="n">
        <x:f>Parametros!$B$19</x:f>
        <x:v>2.95248076</x:v>
      </x:c>
      <x:c r="C15" s="16" t="str">
        <x:v>log-hazard</x:v>
      </x:c>
      <x:c r="D15" s="30" t="n">
        <x:v>2.95248076</x:v>
      </x:c>
      <x:c r="E15" s="21" t="n">
        <x:f>B15-D15</x:f>
        <x:v>0</x:v>
      </x:c>
    </x:row>
    <x:row r="16">
      <x:c r="A16" s="16" t="str">
        <x:v>delta_lp</x:v>
      </x:c>
      <x:c r="B16" s="26" t="n">
        <x:f>B14-B15</x:f>
        <x:v>-0.3334727599999998</x:v>
      </x:c>
      <x:c r="C16" s="16" t="str">
        <x:v>log-hazard</x:v>
      </x:c>
      <x:c r="D16" s="30" t="n">
        <x:v>-0.33347276</x:v>
      </x:c>
      <x:c r="E16" s="21" t="n">
        <x:f>B16-D16</x:f>
        <x:v>1.6653345369377348e-16</x:v>
      </x:c>
    </x:row>
    <x:row r="17">
      <x:c r="A17" s="16" t="str">
        <x:v>relative_hazard</x:v>
      </x:c>
      <x:c r="B17" s="26" t="n">
        <x:f>EXP(B16)</x:f>
        <x:v>0.7164314139658812</x:v>
      </x:c>
      <x:c r="C17" s="16" t="str">
        <x:v>ratio</x:v>
      </x:c>
      <x:c r="D17" s="30" t="n">
        <x:v>0.716431</x:v>
      </x:c>
      <x:c r="E17" s="21" t="n">
        <x:f>B17-D17</x:f>
        <x:v>4.1396588112974086e-7</x:v>
      </x:c>
    </x:row>
    <x:row r="18">
      <x:c r="A18" s="16" t="str">
        <x:v>morrow_age</x:v>
      </x:c>
      <x:c r="B18" s="26" t="n">
        <x:f>B4*EXP(B16/Parametros!$B$2)</x:f>
        <x:v>47.69855112564777</x:v>
      </x:c>
      <x:c r="C18" s="16" t="str">
        <x:v>años</x:v>
      </x:c>
      <x:c r="D18" s="30" t="n">
        <x:v>47.698551</x:v>
      </x:c>
      <x:c r="E18" s="21" t="n">
        <x:f>B18-D18</x:f>
        <x:v>1.2564776596946103e-7</x:v>
      </x:c>
    </x:row>
    <x:row r="19">
      <x:c r="A19" s="16" t="str">
        <x:v>delta_age</x:v>
      </x:c>
      <x:c r="B19" s="26" t="n">
        <x:f>B18-B4</x:f>
        <x:v>-4.301448874352232</x:v>
      </x:c>
      <x:c r="C19" s="16" t="str">
        <x:v>años</x:v>
      </x:c>
      <x:c r="D19" s="30" t="n">
        <x:v>-4.301449</x:v>
      </x:c>
      <x:c r="E19" s="21" t="n">
        <x:f>B19-D19</x:f>
        <x:v>1.2564776774581787e-7</x:v>
      </x:c>
    </x:row>
    <x:row r="20">
      <x:c r="A20" s="16" t="str">
        <x:v>sens_low_lp</x:v>
      </x:c>
      <x:c r="B20" s="26" t="n">
        <x:f>Parametros!$B$3*MIN(Parametros!$B$22,MAX(0,B5-Parametros!$B$28))+Parametros!$B$8*MIN(Parametros!$B$23,MAX(0,B8-Parametros!$B$30))+Parametros!$B$9*MIN(Parametros!$B$24,MAX(0,B9-Parametros!$B$32))+Parametros!$B$10*MIN(Parametros!$B$25,MAX(0,B10-Parametros!$B$34))+Parametros!$B$11*MIN(Parametros!$B$26,MAX(0,B11-Parametros!$B$36))</x:f>
        <x:v>0.182758</x:v>
      </x:c>
      <x:c r="C20" s="16" t="str">
        <x:v>log-hazard</x:v>
      </x:c>
      <x:c r="D20" s="30" t="n">
        <x:v>0.182758</x:v>
      </x:c>
      <x:c r="E20" s="21" t="n">
        <x:f>B20-D20</x:f>
        <x:v>0</x:v>
      </x:c>
    </x:row>
    <x:row r="21">
      <x:c r="A21" s="16" t="str">
        <x:v>sens_high_lp</x:v>
      </x:c>
      <x:c r="B21" s="26" t="n">
        <x:f>Parametros!$B$3*MIN(Parametros!$B$22,MAX(0,Parametros!$B$29-B5))+Parametros!$B$8*MIN(Parametros!$B$23,MAX(0,Parametros!$B$31-B8))+Parametros!$B$9*MIN(Parametros!$B$24,MAX(0,Parametros!$B$33-B9))+Parametros!$B$10*MIN(Parametros!$B$25,MAX(0,Parametros!$B$35-B10))+Parametros!$B$11*MIN(Parametros!$B$26,MAX(0,Parametros!$B$37-B11))</x:f>
        <x:v>0.182758</x:v>
      </x:c>
      <x:c r="C21" s="16" t="str">
        <x:v>log-hazard</x:v>
      </x:c>
      <x:c r="D21" s="30" t="n">
        <x:v>0.182758</x:v>
      </x:c>
      <x:c r="E21" s="21" t="n">
        <x:f>B21-D21</x:f>
        <x:v>0</x:v>
      </x:c>
    </x:row>
    <x:row r="22">
      <x:c r="A22" s="24" t="str">
        <x:v>Escenario</x:v>
      </x:c>
      <x:c r="B22" s="27" t="str">
        <x:v>Fórmula Excel viva</x:v>
      </x:c>
      <x:c r="C22" s="24" t="str">
        <x:v>Unidad</x:v>
      </x:c>
      <x:c r="D22" s="30" t="str"/>
      <x:c r="E22" s="21"/>
    </x:row>
    <x:row r="23">
      <x:c r="A23" s="16" t="str">
        <x:v>MorrowAge sensibilidad baja</x:v>
      </x:c>
      <x:c r="B23" s="26" t="n">
        <x:f>B4*EXP((B16-B20)/Parametros!$B$2)</x:f>
        <x:v>45.49404145462211</x:v>
      </x:c>
      <x:c r="C23" s="16" t="str">
        <x:v>años</x:v>
      </x:c>
      <x:c r="D23" s="30" t="n">
        <x:v>45.494041</x:v>
      </x:c>
      <x:c r="E23" s="21" t="n">
        <x:f>B23-D23</x:f>
        <x:v>4.5462211062385904e-7</x:v>
      </x:c>
    </x:row>
    <x:row r="24">
      <x:c r="A24" s="16" t="str">
        <x:v>MorrowAge sensibilidad alta</x:v>
      </x:c>
      <x:c r="B24" s="26" t="n">
        <x:f>B4*EXP((B16+B21)/Parametros!$B$2)</x:f>
        <x:v>50.00988495944852</x:v>
      </x:c>
      <x:c r="C24" s="16" t="str">
        <x:v>años</x:v>
      </x:c>
      <x:c r="D24" s="30" t="n">
        <x:v>50.009885</x:v>
      </x:c>
      <x:c r="E24" s="21" t="n">
        <x:f>B24-D24</x:f>
        <x:v>-4.0551476843120327e-8</x:v>
      </x:c>
    </x:row>
    <x:row r="25">
      <x:c r="A25" t="str">
        <x:v>morrow_age_status</x:v>
      </x:c>
      <x:c r="B25" t="str">
        <x:f>IF(B18&lt;Parametros!$B$20,"BELOW_REFERENCE_RANGE",IF(B18&gt;Parametros!$B$21,"ABOVE_REFERENCE_RANGE","WITHIN_REFERENCE_RANGE"))</x:f>
        <x:v>WITHIN_REFERENCE_RANGE</x:v>
      </x:c>
      <x:c r="C25" t="str">
        <x:v>presentación</x:v>
      </x:c>
      <x:c r="D25" t="str">
        <x:v>WITHIN_REFERENCE_RANGE</x:v>
      </x:c>
      <x:c r="E25"/>
    </x:row>
    <x:row r="26">
      <x:c r="A26" t="str">
        <x:v>morrow_age_display</x:v>
      </x:c>
      <x:c r="B26" t="n">
        <x:f>IF(B18&lt;Parametros!$B$20,"&lt;40",IF(B18&gt;Parametros!$B$21,"&gt;69",ROUND(B18,1)))</x:f>
        <x:v>47.7</x:v>
      </x:c>
      <x:c r="C26" t="str">
        <x:v>texto</x:v>
      </x:c>
      <x:c r="D26" t="n">
        <x:v>47.7</x:v>
      </x:c>
      <x:c r="E26"/>
    </x:row>
  </x:sheetData>
  <x:mergeCells>
    <x:mergeCell ref="A1:D1"/>
    <x:mergeCell ref="A1:E1"/>
  </x:mergeCells>
  <x:conditionalFormatting sqref="E14:E24">
    <x:cfRule type="cellIs" dxfId="5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9a9ebc9c96f54284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2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  <x:col min="9" max="9" width="19" hidden="0" customWidth="1"/>
    <x:col min="10" max="10" width="18" hidden="0" customWidth="1"/>
    <x:col min="11" max="11" width="14" hidden="0" customWidth="1"/>
    <x:col min="12" max="12" width="13" hidden="0" customWidth="1"/>
    <x:col min="13" max="13" width="16" hidden="0" customWidth="1"/>
    <x:col min="14" max="14" width="13" hidden="0" customWidth="1"/>
    <x:col min="15" max="15" width="13" hidden="0" customWidth="1"/>
    <x:col min="16" max="16" width="22" hidden="0" customWidth="1"/>
    <x:col min="17" max="17" width="14" hidden="0" customWidth="1"/>
  </x:cols>
  <x:sheetData>
    <x:row r="1">
      <x:c r="A1" s="11" t="str">
        <x:v>id</x:v>
      </x:c>
      <x:c r="B1" s="11" t="str">
        <x:v>mercado</x:v>
      </x:c>
      <x:c r="C1" s="11" t="str">
        <x:v>age_years</x:v>
      </x:c>
      <x:c r="D1" s="11" t="str">
        <x:v>sleep_hours</x:v>
      </x:c>
      <x:c r="E1" s="11" t="str">
        <x:v>self_rated_health</x:v>
      </x:c>
      <x:c r="F1" s="11" t="str">
        <x:v>cigarettes_per_day</x:v>
      </x:c>
      <x:c r="G1" s="11" t="str">
        <x:v>reaction_time_ms</x:v>
      </x:c>
      <x:c r="H1" s="11" t="str">
        <x:v>waist_to_height_ratio</x:v>
      </x:c>
      <x:c r="I1" s="11" t="str">
        <x:v>alcohol_units_week</x:v>
      </x:c>
      <x:c r="J1" s="11" t="str">
        <x:v>resting_hr_bpm</x:v>
      </x:c>
      <x:c r="K1" s="11" t="str">
        <x:v>morrow_age</x:v>
      </x:c>
      <x:c r="L1" s="11" t="str">
        <x:v>delta_age</x:v>
      </x:c>
      <x:c r="M1" s="11" t="str">
        <x:v>relative_hazard</x:v>
      </x:c>
      <x:c r="N1" s="11" t="str">
        <x:v>sens_low</x:v>
      </x:c>
      <x:c r="O1" s="11" t="str">
        <x:v>sens_high</x:v>
      </x:c>
      <x:c r="P1" s="11" t="str">
        <x:v>tipo</x:v>
      </x:c>
      <x:c r="Q1" s="11" t="str">
        <x:v>estado</x:v>
      </x:c>
    </x:row>
    <x:row r="2">
      <x:c r="A2" s="16" t="str">
        <x:v>TC01</x:v>
      </x:c>
      <x:c r="B2" s="16" t="str">
        <x:v>US</x:v>
      </x:c>
      <x:c r="C2" s="16" t="n">
        <x:v>52</x:v>
      </x:c>
      <x:c r="D2" s="16" t="n">
        <x:v>7</x:v>
      </x:c>
      <x:c r="E2" s="16" t="str">
        <x:v>good</x:v>
      </x:c>
      <x:c r="F2" s="16" t="n">
        <x:v>0</x:v>
      </x:c>
      <x:c r="G2" s="16" t="n">
        <x:v>540</x:v>
      </x:c>
      <x:c r="H2" s="16" t="n">
        <x:v>0.52</x:v>
      </x:c>
      <x:c r="I2" s="16" t="n">
        <x:v>7</x:v>
      </x:c>
      <x:c r="J2" s="16" t="n">
        <x:v>68</x:v>
      </x:c>
      <x:c r="K2" s="30" t="n">
        <x:v>47.698551</x:v>
      </x:c>
      <x:c r="L2" s="30" t="n">
        <x:v>-4.301449</x:v>
      </x:c>
      <x:c r="M2" s="30" t="n">
        <x:v>0.716431</x:v>
      </x:c>
      <x:c r="N2" s="30" t="n">
        <x:v>45.494041</x:v>
      </x:c>
      <x:c r="O2" s="30" t="n">
        <x:v>50.009885</x:v>
      </x:c>
      <x:c r="P2" s="16" t="str">
        <x:v>típico_US</x:v>
      </x:c>
      <x:c r="Q2" s="16" t="str">
        <x:v>verificado_v2.1</x:v>
      </x:c>
    </x:row>
    <x:row r="3">
      <x:c r="A3" s="16" t="str">
        <x:v>TC02</x:v>
      </x:c>
      <x:c r="B3" s="16" t="str">
        <x:v>UK</x:v>
      </x:c>
      <x:c r="C3" s="16" t="n">
        <x:v>58</x:v>
      </x:c>
      <x:c r="D3" s="16" t="n">
        <x:v>7.2</x:v>
      </x:c>
      <x:c r="E3" s="16" t="str">
        <x:v>good</x:v>
      </x:c>
      <x:c r="F3" s="16" t="n">
        <x:v>0</x:v>
      </x:c>
      <x:c r="G3" s="16" t="n">
        <x:v>560</x:v>
      </x:c>
      <x:c r="H3" s="16" t="n">
        <x:v>0.54</x:v>
      </x:c>
      <x:c r="I3" s="16" t="n">
        <x:v>14</x:v>
      </x:c>
      <x:c r="J3" s="16" t="n">
        <x:v>70</x:v>
      </x:c>
      <x:c r="K3" s="30" t="n">
        <x:v>55.092727</x:v>
      </x:c>
      <x:c r="L3" s="30" t="n">
        <x:v>-2.907273</x:v>
      </x:c>
      <x:c r="M3" s="30" t="n">
        <x:v>0.819866</x:v>
      </x:c>
      <x:c r="N3" s="30" t="n">
        <x:v>52.546477</x:v>
      </x:c>
      <x:c r="O3" s="30" t="n">
        <x:v>57.762362</x:v>
      </x:c>
      <x:c r="P3" s="16" t="str">
        <x:v>típico_UK</x:v>
      </x:c>
      <x:c r="Q3" s="16" t="str">
        <x:v>verificado_v2.1</x:v>
      </x:c>
    </x:row>
    <x:row r="4">
      <x:c r="A4" s="16" t="str">
        <x:v>TC03</x:v>
      </x:c>
      <x:c r="B4" s="16" t="str">
        <x:v>Canada</x:v>
      </x:c>
      <x:c r="C4" s="16" t="n">
        <x:v>45</x:v>
      </x:c>
      <x:c r="D4" s="16" t="n">
        <x:v>7.5</x:v>
      </x:c>
      <x:c r="E4" s="16" t="str">
        <x:v>excellent</x:v>
      </x:c>
      <x:c r="F4" s="16" t="n">
        <x:v>0</x:v>
      </x:c>
      <x:c r="G4" s="16" t="n">
        <x:v>500</x:v>
      </x:c>
      <x:c r="H4" s="16" t="n">
        <x:v>0.48</x:v>
      </x:c>
      <x:c r="I4" s="16" t="n">
        <x:v>5</x:v>
      </x:c>
      <x:c r="J4" s="16" t="n">
        <x:v>62</x:v>
      </x:c>
      <x:c r="K4" s="30" t="n">
        <x:v>38.862863</x:v>
      </x:c>
      <x:c r="L4" s="30" t="n">
        <x:v>-6.137137</x:v>
      </x:c>
      <x:c r="M4" s="30" t="n">
        <x:v>0.567628</x:v>
      </x:c>
      <x:c r="N4" s="30" t="n">
        <x:v>37.066717</x:v>
      </x:c>
      <x:c r="O4" s="30" t="n">
        <x:v>40.746045</x:v>
      </x:c>
      <x:c r="P4" s="16" t="str">
        <x:v>típico_Canada</x:v>
      </x:c>
      <x:c r="Q4" s="16" t="str">
        <x:v>verificado_v2.1</x:v>
      </x:c>
    </x:row>
    <x:row r="5">
      <x:c r="A5" s="16" t="str">
        <x:v>TC04</x:v>
      </x:c>
      <x:c r="B5" s="16" t="str">
        <x:v>US</x:v>
      </x:c>
      <x:c r="C5" s="16" t="n">
        <x:v>40</x:v>
      </x:c>
      <x:c r="D5" s="16" t="n">
        <x:v>7</x:v>
      </x:c>
      <x:c r="E5" s="16" t="str">
        <x:v>good</x:v>
      </x:c>
      <x:c r="F5" s="16" t="n">
        <x:v>0</x:v>
      </x:c>
      <x:c r="G5" s="16" t="n">
        <x:v>558</x:v>
      </x:c>
      <x:c r="H5" s="16" t="n">
        <x:v>0.54</x:v>
      </x:c>
      <x:c r="I5" s="16" t="n">
        <x:v>14.3</x:v>
      </x:c>
      <x:c r="J5" s="16" t="n">
        <x:v>70</x:v>
      </x:c>
      <x:c r="K5" s="30" t="n">
        <x:v>37.854664</x:v>
      </x:c>
      <x:c r="L5" s="30" t="n">
        <x:v>-2.145336</x:v>
      </x:c>
      <x:c r="M5" s="30" t="n">
        <x:v>0.808233</x:v>
      </x:c>
      <x:c r="N5" s="30" t="n">
        <x:v>36.105115</x:v>
      </x:c>
      <x:c r="O5" s="30" t="n">
        <x:v>39.688992</x:v>
      </x:c>
      <x:c r="P5" s="16" t="str">
        <x:v>borde_edad_min</x:v>
      </x:c>
      <x:c r="Q5" s="16" t="str">
        <x:v>verificado_v2.1</x:v>
      </x:c>
    </x:row>
    <x:row r="6">
      <x:c r="A6" s="16" t="str">
        <x:v>TC05</x:v>
      </x:c>
      <x:c r="B6" s="16" t="str">
        <x:v>UK</x:v>
      </x:c>
      <x:c r="C6" s="16" t="n">
        <x:v>69</x:v>
      </x:c>
      <x:c r="D6" s="16" t="n">
        <x:v>7</x:v>
      </x:c>
      <x:c r="E6" s="16" t="str">
        <x:v>good</x:v>
      </x:c>
      <x:c r="F6" s="16" t="n">
        <x:v>0</x:v>
      </x:c>
      <x:c r="G6" s="16" t="n">
        <x:v>558</x:v>
      </x:c>
      <x:c r="H6" s="16" t="n">
        <x:v>0.54</x:v>
      </x:c>
      <x:c r="I6" s="16" t="n">
        <x:v>14.3</x:v>
      </x:c>
      <x:c r="J6" s="16" t="n">
        <x:v>70</x:v>
      </x:c>
      <x:c r="K6" s="30" t="n">
        <x:v>65.299296</x:v>
      </x:c>
      <x:c r="L6" s="30" t="n">
        <x:v>-3.700704</x:v>
      </x:c>
      <x:c r="M6" s="30" t="n">
        <x:v>0.808233</x:v>
      </x:c>
      <x:c r="N6" s="30" t="n">
        <x:v>62.281323</x:v>
      </x:c>
      <x:c r="O6" s="30" t="n">
        <x:v>68.463511</x:v>
      </x:c>
      <x:c r="P6" s="16" t="str">
        <x:v>borde_edad_max</x:v>
      </x:c>
      <x:c r="Q6" s="16" t="str">
        <x:v>verificado_v2.1</x:v>
      </x:c>
    </x:row>
    <x:row r="7">
      <x:c r="A7" s="16" t="str">
        <x:v>TC06</x:v>
      </x:c>
      <x:c r="B7" s="16" t="str">
        <x:v>Canada</x:v>
      </x:c>
      <x:c r="C7" s="16" t="n">
        <x:v>50</x:v>
      </x:c>
      <x:c r="D7" s="16" t="n">
        <x:v>6.5</x:v>
      </x:c>
      <x:c r="E7" s="16" t="str">
        <x:v>excellent</x:v>
      </x:c>
      <x:c r="F7" s="16" t="n">
        <x:v>0</x:v>
      </x:c>
      <x:c r="G7" s="16" t="n">
        <x:v>400</x:v>
      </x:c>
      <x:c r="H7" s="16" t="n">
        <x:v>0.4</x:v>
      </x:c>
      <x:c r="I7" s="16" t="n">
        <x:v>0</x:v>
      </x:c>
      <x:c r="J7" s="16" t="n">
        <x:v>50</x:v>
      </x:c>
      <x:c r="K7" s="30" t="n">
        <x:v>38.466344</x:v>
      </x:c>
      <x:c r="L7" s="30" t="n">
        <x:v>-11.533656</x:v>
      </x:c>
      <x:c r="M7" s="30" t="n">
        <x:v>0.363193</x:v>
      </x:c>
      <x:c r="N7" s="30" t="n">
        <x:v>36.835107</x:v>
      </x:c>
      <x:c r="O7" s="30" t="n">
        <x:v>40.330312</x:v>
      </x:c>
      <x:c r="P7" s="16" t="str">
        <x:v>perfil_favorable</x:v>
      </x:c>
      <x:c r="Q7" s="16" t="str">
        <x:v>verificado_v2.1</x:v>
      </x:c>
    </x:row>
    <x:row r="8">
      <x:c r="A8" s="16" t="str">
        <x:v>TC07</x:v>
      </x:c>
      <x:c r="B8" s="16" t="str">
        <x:v>US</x:v>
      </x:c>
      <x:c r="C8" s="16" t="n">
        <x:v>50</x:v>
      </x:c>
      <x:c r="D8" s="16" t="n">
        <x:v>7</x:v>
      </x:c>
      <x:c r="E8" s="16" t="str">
        <x:v>poor</x:v>
      </x:c>
      <x:c r="F8" s="16" t="n">
        <x:v>0</x:v>
      </x:c>
      <x:c r="G8" s="16" t="n">
        <x:v>558</x:v>
      </x:c>
      <x:c r="H8" s="16" t="n">
        <x:v>0.54</x:v>
      </x:c>
      <x:c r="I8" s="16" t="n">
        <x:v>14.3</x:v>
      </x:c>
      <x:c r="J8" s="16" t="n">
        <x:v>70</x:v>
      </x:c>
      <x:c r="K8" s="30" t="n">
        <x:v>89.26769</x:v>
      </x:c>
      <x:c r="L8" s="30" t="n">
        <x:v>39.26769</x:v>
      </x:c>
      <x:c r="M8" s="30" t="n">
        <x:v>9.380145</x:v>
      </x:c>
      <x:c r="N8" s="30" t="n">
        <x:v>85.141957</x:v>
      </x:c>
      <x:c r="O8" s="30" t="n">
        <x:v>93.593344</x:v>
      </x:c>
      <x:c r="P8" s="16" t="str">
        <x:v>salud_poor</x:v>
      </x:c>
      <x:c r="Q8" s="16" t="str">
        <x:v>verificado_v2.1</x:v>
      </x:c>
    </x:row>
    <x:row r="9">
      <x:c r="A9" s="16" t="str">
        <x:v>TC08</x:v>
      </x:c>
      <x:c r="B9" s="16" t="str">
        <x:v>UK</x:v>
      </x:c>
      <x:c r="C9" s="16" t="n">
        <x:v>50</x:v>
      </x:c>
      <x:c r="D9" s="16" t="n">
        <x:v>7</x:v>
      </x:c>
      <x:c r="E9" s="16" t="str">
        <x:v>good</x:v>
      </x:c>
      <x:c r="F9" s="16" t="n">
        <x:v>30</x:v>
      </x:c>
      <x:c r="G9" s="16" t="n">
        <x:v>558</x:v>
      </x:c>
      <x:c r="H9" s="16" t="n">
        <x:v>0.54</x:v>
      </x:c>
      <x:c r="I9" s="16" t="n">
        <x:v>14.3</x:v>
      </x:c>
      <x:c r="J9" s="16" t="n">
        <x:v>70</x:v>
      </x:c>
      <x:c r="K9" s="30" t="n">
        <x:v>80.558039</x:v>
      </x:c>
      <x:c r="L9" s="30" t="n">
        <x:v>30.558039</x:v>
      </x:c>
      <x:c r="M9" s="30" t="n">
        <x:v>6.309745</x:v>
      </x:c>
      <x:c r="N9" s="30" t="n">
        <x:v>76.834845</x:v>
      </x:c>
      <x:c r="O9" s="30" t="n">
        <x:v>84.461649</x:v>
      </x:c>
      <x:c r="P9" s="16" t="str">
        <x:v>smoking_alto</x:v>
      </x:c>
      <x:c r="Q9" s="16" t="str">
        <x:v>verificado_v2.1</x:v>
      </x:c>
    </x:row>
    <x:row r="10">
      <x:c r="A10" s="16" t="str">
        <x:v>TC09</x:v>
      </x:c>
      <x:c r="B10" s="16" t="str">
        <x:v>Canada</x:v>
      </x:c>
      <x:c r="C10" s="16" t="n">
        <x:v>55</x:v>
      </x:c>
      <x:c r="D10" s="16" t="n">
        <x:v>7</x:v>
      </x:c>
      <x:c r="E10" s="16" t="str">
        <x:v>good</x:v>
      </x:c>
      <x:c r="F10" s="16" t="n">
        <x:v>0</x:v>
      </x:c>
      <x:c r="G10" s="16" t="n">
        <x:v>558</x:v>
      </x:c>
      <x:c r="H10" s="16" t="n">
        <x:v>0.75</x:v>
      </x:c>
      <x:c r="I10" s="16" t="n">
        <x:v>14.3</x:v>
      </x:c>
      <x:c r="J10" s="16" t="n">
        <x:v>70</x:v>
      </x:c>
      <x:c r="K10" s="30" t="n">
        <x:v>55.462679</x:v>
      </x:c>
      <x:c r="L10" s="30" t="n">
        <x:v>0.462679</x:v>
      </x:c>
      <x:c r="M10" s="30" t="n">
        <x:v>1.032883</x:v>
      </x:c>
      <x:c r="N10" s="30" t="n">
        <x:v>52.89933</x:v>
      </x:c>
      <x:c r="O10" s="30" t="n">
        <x:v>58.15024</x:v>
      </x:c>
      <x:c r="P10" s="16" t="str">
        <x:v>wthr_alto</x:v>
      </x:c>
      <x:c r="Q10" s="16" t="str">
        <x:v>verificado_v2.1</x:v>
      </x:c>
    </x:row>
    <x:row r="11">
      <x:c r="A11" s="16" t="str">
        <x:v>TC10</x:v>
      </x:c>
      <x:c r="B11" s="16" t="str">
        <x:v>US</x:v>
      </x:c>
      <x:c r="C11" s="16" t="n">
        <x:v>55</x:v>
      </x:c>
      <x:c r="D11" s="16" t="n">
        <x:v>7</x:v>
      </x:c>
      <x:c r="E11" s="16" t="str">
        <x:v>good</x:v>
      </x:c>
      <x:c r="F11" s="16" t="n">
        <x:v>0</x:v>
      </x:c>
      <x:c r="G11" s="16" t="n">
        <x:v>558</x:v>
      </x:c>
      <x:c r="H11" s="16" t="n">
        <x:v>0.54</x:v>
      </x:c>
      <x:c r="I11" s="16" t="n">
        <x:v>14.3</x:v>
      </x:c>
      <x:c r="J11" s="16" t="n">
        <x:v>110</x:v>
      </x:c>
      <x:c r="K11" s="30" t="n">
        <x:v>59.737099</x:v>
      </x:c>
      <x:c r="L11" s="30" t="n">
        <x:v>4.737099</x:v>
      </x:c>
      <x:c r="M11" s="30" t="n">
        <x:v>1.375882</x:v>
      </x:c>
      <x:c r="N11" s="30" t="n">
        <x:v>56.976198</x:v>
      </x:c>
      <x:c r="O11" s="30" t="n">
        <x:v>62.631786</x:v>
      </x:c>
      <x:c r="P11" s="16" t="str">
        <x:v>rhr_alto</x:v>
      </x:c>
      <x:c r="Q11" s="16" t="str">
        <x:v>verificado_v2.1</x:v>
      </x:c>
    </x:row>
    <x:row r="12">
      <x:c r="A12" s="16" t="str">
        <x:v>TC11</x:v>
      </x:c>
      <x:c r="B12" s="16" t="str">
        <x:v>UK</x:v>
      </x:c>
      <x:c r="C12" s="16" t="n">
        <x:v>60</x:v>
      </x:c>
      <x:c r="D12" s="16" t="n">
        <x:v>7</x:v>
      </x:c>
      <x:c r="E12" s="16" t="str">
        <x:v>fair</x:v>
      </x:c>
      <x:c r="F12" s="16" t="n">
        <x:v>0</x:v>
      </x:c>
      <x:c r="G12" s="16" t="n">
        <x:v>900</x:v>
      </x:c>
      <x:c r="H12" s="16" t="n">
        <x:v>0.56</x:v>
      </x:c>
      <x:c r="I12" s="16" t="n">
        <x:v>8</x:v>
      </x:c>
      <x:c r="J12" s="16" t="n">
        <x:v>72</x:v>
      </x:c>
      <x:c r="K12" s="30" t="n">
        <x:v>70.025061</x:v>
      </x:c>
      <x:c r="L12" s="30" t="n">
        <x:v>10.025061</x:v>
      </x:c>
      <x:c r="M12" s="30" t="n">
        <x:v>1.816194</x:v>
      </x:c>
      <x:c r="N12" s="30" t="n">
        <x:v>66.788675</x:v>
      </x:c>
      <x:c r="O12" s="30" t="n">
        <x:v>73.418273</x:v>
      </x:c>
      <x:c r="P12" s="16" t="str">
        <x:v>reaction_lenta</x:v>
      </x:c>
      <x:c r="Q12" s="16" t="str">
        <x:v>verificado_v2.1</x:v>
      </x:c>
    </x:row>
    <x:row r="13">
      <x:c r="A13" s="16" t="str">
        <x:v>TC12</x:v>
      </x:c>
      <x:c r="B13" s="16" t="str">
        <x:v>Canada</x:v>
      </x:c>
      <x:c r="C13" s="16" t="n">
        <x:v>48</x:v>
      </x:c>
      <x:c r="D13" s="16" t="n">
        <x:v>7</x:v>
      </x:c>
      <x:c r="E13" s="16" t="str">
        <x:v>good</x:v>
      </x:c>
      <x:c r="F13" s="16" t="n">
        <x:v>0</x:v>
      </x:c>
      <x:c r="G13" s="16" t="n">
        <x:v>550</x:v>
      </x:c>
      <x:c r="H13" s="16" t="n">
        <x:v>0.53</x:v>
      </x:c>
      <x:c r="I13" s="16" t="n">
        <x:v>0</x:v>
      </x:c>
      <x:c r="J13" s="16" t="n">
        <x:v>65</x:v>
      </x:c>
      <x:c r="K13" s="30" t="n">
        <x:v>43.192502</x:v>
      </x:c>
      <x:c r="L13" s="30" t="n">
        <x:v>-4.807498</x:v>
      </x:c>
      <x:c r="M13" s="30" t="n">
        <x:v>0.665249</x:v>
      </x:c>
      <x:c r="N13" s="30" t="n">
        <x:v>41.360843</x:v>
      </x:c>
      <x:c r="O13" s="30" t="n">
        <x:v>45.285486</x:v>
      </x:c>
      <x:c r="P13" s="16" t="str">
        <x:v>alcohol_cero</x:v>
      </x:c>
      <x:c r="Q13" s="16" t="str">
        <x:v>verificado_v2.1</x:v>
      </x:c>
    </x:row>
    <x:row r="14">
      <x:c r="A14" s="16" t="str">
        <x:v>TC13</x:v>
      </x:c>
      <x:c r="B14" s="16" t="str">
        <x:v>US</x:v>
      </x:c>
      <x:c r="C14" s="16" t="n">
        <x:v>48</x:v>
      </x:c>
      <x:c r="D14" s="16" t="n">
        <x:v>7</x:v>
      </x:c>
      <x:c r="E14" s="16" t="str">
        <x:v>good</x:v>
      </x:c>
      <x:c r="F14" s="16" t="n">
        <x:v>0</x:v>
      </x:c>
      <x:c r="G14" s="16" t="n">
        <x:v>550</x:v>
      </x:c>
      <x:c r="H14" s="16" t="n">
        <x:v>0.53</x:v>
      </x:c>
      <x:c r="I14" s="16" t="n">
        <x:v>70</x:v>
      </x:c>
      <x:c r="J14" s="16" t="n">
        <x:v>65</x:v>
      </x:c>
      <x:c r="K14" s="30" t="n">
        <x:v>49.661237</x:v>
      </x:c>
      <x:c r="L14" s="30" t="n">
        <x:v>1.661237</x:v>
      </x:c>
      <x:c r="M14" s="30" t="n">
        <x:v>1.140431</x:v>
      </x:c>
      <x:c r="N14" s="30" t="n">
        <x:v>47.366017</x:v>
      </x:c>
      <x:c r="O14" s="30" t="n">
        <x:v>52.067677</x:v>
      </x:c>
      <x:c r="P14" s="16" t="str">
        <x:v>alcohol_alto</x:v>
      </x:c>
      <x:c r="Q14" s="16" t="str">
        <x:v>verificado_v2.1</x:v>
      </x:c>
    </x:row>
    <x:row r="15">
      <x:c r="A15" s="16" t="str">
        <x:v>TC14</x:v>
      </x:c>
      <x:c r="B15" s="16" t="str">
        <x:v>UK</x:v>
      </x:c>
      <x:c r="C15" s="16" t="n">
        <x:v>57</x:v>
      </x:c>
      <x:c r="D15" s="16" t="n">
        <x:v>7.16</x:v>
      </x:c>
      <x:c r="E15" s="16" t="str">
        <x:v>good</x:v>
      </x:c>
      <x:c r="F15" s="16" t="n">
        <x:v>0</x:v>
      </x:c>
      <x:c r="G15" s="16" t="n">
        <x:v>558.03</x:v>
      </x:c>
      <x:c r="H15" s="16" t="n">
        <x:v>0.54</x:v>
      </x:c>
      <x:c r="I15" s="16" t="n">
        <x:v>14.34</x:v>
      </x:c>
      <x:c r="J15" s="16" t="n">
        <x:v>70</x:v>
      </x:c>
      <x:c r="K15" s="30" t="n">
        <x:v>54.115411</x:v>
      </x:c>
      <x:c r="L15" s="30" t="n">
        <x:v>-2.884589</x:v>
      </x:c>
      <x:c r="M15" s="30" t="n">
        <x:v>0.818262</x:v>
      </x:c>
      <x:c r="N15" s="30" t="n">
        <x:v>51.61433</x:v>
      </x:c>
      <x:c r="O15" s="30" t="n">
        <x:v>56.737688</x:v>
      </x:c>
      <x:c r="P15" s="16" t="str">
        <x:v>medias_publicadas_continuas</x:v>
      </x:c>
      <x:c r="Q15" s="16" t="str">
        <x:v>verificado_v2.1</x:v>
      </x:c>
    </x:row>
    <x:row r="16">
      <x:c r="A16" s="16" t="str">
        <x:v>TC15</x:v>
      </x:c>
      <x:c r="B16" s="16" t="str">
        <x:v>Canada</x:v>
      </x:c>
      <x:c r="C16" s="16" t="n">
        <x:v>40</x:v>
      </x:c>
      <x:c r="D16" s="16" t="n">
        <x:v>3</x:v>
      </x:c>
      <x:c r="E16" s="16" t="str">
        <x:v>excellent</x:v>
      </x:c>
      <x:c r="F16" s="16" t="n">
        <x:v>0</x:v>
      </x:c>
      <x:c r="G16" s="16" t="n">
        <x:v>250</x:v>
      </x:c>
      <x:c r="H16" s="16" t="n">
        <x:v>0.3</x:v>
      </x:c>
      <x:c r="I16" s="16" t="n">
        <x:v>0</x:v>
      </x:c>
      <x:c r="J16" s="16" t="n">
        <x:v>35</x:v>
      </x:c>
      <x:c r="K16" s="30" t="n">
        <x:v>25.679925</x:v>
      </x:c>
      <x:c r="L16" s="30" t="n">
        <x:v>-14.320075</x:v>
      </x:c>
      <x:c r="M16" s="30" t="n">
        <x:v>0.180575</x:v>
      </x:c>
      <x:c r="N16" s="30" t="n">
        <x:v>25.679925</x:v>
      </x:c>
      <x:c r="O16" s="30" t="n">
        <x:v>26.9243</x:v>
      </x:c>
      <x:c r="P16" s="16" t="str">
        <x:v>bordes_minimos_inputs</x:v>
      </x:c>
      <x:c r="Q16" s="16" t="str">
        <x:v>verificado_v2.1</x:v>
      </x:c>
    </x:row>
    <x:row r="17">
      <x:c r="A17" s="16" t="str">
        <x:v>TC16</x:v>
      </x:c>
      <x:c r="B17" s="16" t="str">
        <x:v>US</x:v>
      </x:c>
      <x:c r="C17" s="16" t="n">
        <x:v>69</x:v>
      </x:c>
      <x:c r="D17" s="16" t="n">
        <x:v>12</x:v>
      </x:c>
      <x:c r="E17" s="16" t="str">
        <x:v>poor</x:v>
      </x:c>
      <x:c r="F17" s="16" t="n">
        <x:v>60</x:v>
      </x:c>
      <x:c r="G17" s="16" t="n">
        <x:v>1500</x:v>
      </x:c>
      <x:c r="H17" s="16" t="n">
        <x:v>0.9</x:v>
      </x:c>
      <x:c r="I17" s="16" t="n">
        <x:v>100</x:v>
      </x:c>
      <x:c r="J17" s="16" t="n">
        <x:v>130</x:v>
      </x:c>
      <x:c r="K17" s="30" t="n">
        <x:v>777.775669</x:v>
      </x:c>
      <x:c r="L17" s="30" t="n">
        <x:v>708.775669</x:v>
      </x:c>
      <x:c r="M17" s="30" t="n">
        <x:v>11562.579298</x:v>
      </x:c>
      <x:c r="N17" s="30" t="n">
        <x:v>741.828791</x:v>
      </x:c>
      <x:c r="O17" s="30" t="n">
        <x:v>777.775669</x:v>
      </x:c>
      <x:c r="P17" s="16" t="str">
        <x:v>bordes_maximos_inputs</x:v>
      </x:c>
      <x:c r="Q17" s="16" t="str">
        <x:v>verificado_v2.1</x:v>
      </x:c>
    </x:row>
    <x:row r="18">
      <x:c r="A18" s="16" t="str">
        <x:v>TC17</x:v>
      </x:c>
      <x:c r="B18" s="16" t="str">
        <x:v>US</x:v>
      </x:c>
      <x:c r="C18" s="16" t="n">
        <x:v>44</x:v>
      </x:c>
      <x:c r="D18" s="16" t="n">
        <x:v>8</x:v>
      </x:c>
      <x:c r="E18" s="16" t="str">
        <x:v>good</x:v>
      </x:c>
      <x:c r="F18" s="16" t="n">
        <x:v>0</x:v>
      </x:c>
      <x:c r="G18" s="16" t="n">
        <x:v>520</x:v>
      </x:c>
      <x:c r="H18" s="16" t="n">
        <x:v>0.5</x:v>
      </x:c>
      <x:c r="I18" s="16" t="n">
        <x:v>7</x:v>
      </x:c>
      <x:c r="J18" s="16" t="n">
        <x:v>60</x:v>
      </x:c>
      <x:c r="K18" s="30" t="n">
        <x:v>39.627618</x:v>
      </x:c>
      <x:c r="L18" s="30" t="n">
        <x:v>-4.372382</x:v>
      </x:c>
      <x:c r="M18" s="30" t="n">
        <x:v>0.66749</x:v>
      </x:c>
      <x:c r="N18" s="30" t="n">
        <x:v>37.796127</x:v>
      </x:c>
      <x:c r="O18" s="30" t="n">
        <x:v>41.547857</x:v>
      </x:c>
      <x:c r="P18" s="16" t="str">
        <x:v>conversion_4_drinks_US</x:v>
      </x:c>
      <x:c r="Q18" s="16" t="str">
        <x:v>verificado_v2.1</x:v>
      </x:c>
    </x:row>
    <x:row r="19">
      <x:c r="A19" s="16" t="str">
        <x:v>TC18</x:v>
      </x:c>
      <x:c r="B19" s="16" t="str">
        <x:v>Canada</x:v>
      </x:c>
      <x:c r="C19" s="16" t="n">
        <x:v>62</x:v>
      </x:c>
      <x:c r="D19" s="16" t="n">
        <x:v>6</x:v>
      </x:c>
      <x:c r="E19" s="16" t="str">
        <x:v>fair</x:v>
      </x:c>
      <x:c r="F19" s="16" t="n">
        <x:v>10</x:v>
      </x:c>
      <x:c r="G19" s="16" t="n">
        <x:v>650</x:v>
      </x:c>
      <x:c r="H19" s="16" t="n">
        <x:v>0.6</x:v>
      </x:c>
      <x:c r="I19" s="16" t="n">
        <x:v>10</x:v>
      </x:c>
      <x:c r="J19" s="16" t="n">
        <x:v>80</x:v>
      </x:c>
      <x:c r="K19" s="30" t="n">
        <x:v>84.051714</x:v>
      </x:c>
      <x:c r="L19" s="30" t="n">
        <x:v>22.051714</x:v>
      </x:c>
      <x:c r="M19" s="30" t="n">
        <x:v>3.238983</x:v>
      </x:c>
      <x:c r="N19" s="30" t="n">
        <x:v>80.167051</x:v>
      </x:c>
      <x:c r="O19" s="30" t="n">
        <x:v>88.124617</x:v>
      </x:c>
      <x:c r="P19" s="16" t="str">
        <x:v>smoking_moderado</x:v>
      </x:c>
      <x:c r="Q19" s="16" t="str">
        <x:v>verificado_v2.1</x:v>
      </x:c>
    </x:row>
  </x:sheetData>
  <x:conditionalFormatting sqref="Q2:Q19">
    <x:cfRule type="expression" dxfId="6" priority="1">
      <x:formula>Q2="verificado"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48" hidden="0" customWidth="1"/>
    <x:col min="4" max="4" width="44" hidden="0" customWidth="1"/>
    <x:col min="5" max="5" width="12" hidden="0" customWidth="1"/>
    <x:col min="6" max="6" width="24" hidden="0" customWidth="1"/>
  </x:cols>
  <x:sheetData>
    <x:row r="1">
      <x:c r="A1" s="24" t="str">
        <x:v>id</x:v>
      </x:c>
      <x:c r="B1" s="24" t="str">
        <x:v>dato</x:v>
      </x:c>
      <x:c r="C1" s="24" t="str">
        <x:v>url</x:v>
      </x:c>
      <x:c r="D1" s="24" t="str">
        <x:v>licencia</x:v>
      </x:c>
      <x:c r="E1" s="24" t="str">
        <x:v>fecha</x:v>
      </x:c>
      <x:c r="F1" s="24" t="str">
        <x:v>estado</x:v>
      </x:c>
    </x:row>
    <x:row r="2">
      <x:c r="A2" s="18" t="str">
        <x:v>S01</x:v>
      </x:c>
      <x:c r="B2" s="18" t="str">
        <x:v>Coeficientes Cox, cohorte, discriminación y variables del modelo raw-input (modelo 3)</x:v>
      </x:c>
      <x:c r="C2" s="18" t="str">
        <x:v>https://mhealth.jmir.org/2021/2/e25655</x:v>
      </x:c>
      <x:c r="D2" s="18" t="str">
        <x:v>CC BY (política editorial JMIR para artículos finales)</x:v>
      </x:c>
      <x:c r="E2" s="18" t="str">
        <x:v>2021-02-16</x:v>
      </x:c>
      <x:c r="F2" s="18" t="str">
        <x:v>verificado</x:v>
      </x:c>
    </x:row>
    <x:row r="3">
      <x:c r="A3" s="18" t="str">
        <x:v>S02</x:v>
      </x:c>
      <x:c r="B3" s="18" t="str">
        <x:v>Política de copyright JMIR: artículos finales publicados bajo Creative Commons Attribution, reutilización comercial con atribución</x:v>
      </x:c>
      <x:c r="C3" s="18" t="str">
        <x:v>https://mhealth.jmir.org/publishing-policies/copyright-notice</x:v>
      </x:c>
      <x:c r="D3" s="18" t="str">
        <x:v>CC BY</x:v>
      </x:c>
      <x:c r="E3" s="18" t="str">
        <x:v>2026-10-06</x:v>
      </x:c>
      <x:c r="F3" s="18" t="str">
        <x:v>verificado</x:v>
      </x:c>
    </x:row>
    <x:row r="4">
      <x:c r="A4" s="18" t="str">
        <x:v>S03</x:v>
      </x:c>
      <x:c r="B4" s="18" t="str">
        <x:v>Modelo Cox-Lasso 10 años en mayores; c-index interno 0.74, externo 0.69; coeficientes publicados</x:v>
      </x:c>
      <x:c r="C4" s="18" t="str">
        <x:v>https://link.springer.com/article/10.1186/s12874-020-01204-7</x:v>
      </x:c>
      <x:c r="D4" s="18" t="str">
        <x:v>CC BY 4.0</x:v>
      </x:c>
      <x:c r="E4" s="18" t="str">
        <x:v>2021-01-06</x:v>
      </x:c>
      <x:c r="F4" s="18" t="str">
        <x:v>verificado</x:v>
      </x:c>
    </x:row>
    <x:row r="5">
      <x:c r="A5" s="18" t="str">
        <x:v>S04</x:v>
      </x:c>
      <x:c r="B5" s="18" t="str">
        <x:v>UK Biobank 5-year mortality score por autorreporte; c-index 0.80 hombres/0.79 mujeres</x:v>
      </x:c>
      <x:c r="C5" s="18" t="str">
        <x:v>https://pubmed.ncbi.nlm.nih.gov/26049253/</x:v>
      </x:c>
      <x:c r="D5" s="18" t="str">
        <x:v>Artículo Lancet; derechos de implementación/calculadora no verificados para reutilización comercial</x:v>
      </x:c>
      <x:c r="E5" s="18" t="str">
        <x:v>2015-06-04</x:v>
      </x:c>
      <x:c r="F5" s="18" t="str">
        <x:v>no_verificado</x:v>
      </x:c>
    </x:row>
    <x:row r="6">
      <x:c r="A6" s="18" t="str">
        <x:v>S05</x:v>
      </x:c>
      <x:c r="B6" s="18" t="str">
        <x:v>Validación/adaptación del C-Score en NHANES; AUC original ~0.72, age+C-score ~0.75; C-Score declarado propietario</x:v>
      </x:c>
      <x:c r="C6" s="18" t="str">
        <x:v>https://www.jmir.org/2022/6/e36787/</x:v>
      </x:c>
      <x:c r="D6" s="18" t="str">
        <x:v>Artículo CC BY; C-Score propietario según el propio artículo</x:v>
      </x:c>
      <x:c r="E6" s="18" t="str">
        <x:v>2022-06-23</x:v>
      </x:c>
      <x:c r="F6" s="18" t="str">
        <x:v>verificado</x:v>
      </x:c>
    </x:row>
    <x:row r="7">
      <x:c r="A7" s="18" t="str">
        <x:v>S06</x:v>
      </x:c>
      <x:c r="B7" s="18" t="str">
        <x:v>NCHS Linked Mortality: archivos public-use de linkage 2019 (NHANES 1999–2018/NHANES III) con variables limitadas; algunos follow-up/cause values sintéticos por confidencialidad; restricted-use 2022 vía RDC.</x:v>
      </x:c>
      <x:c r="C7" s="18" t="str">
        <x:v>https://www.cdc.gov/nchs/linked-data/mortality-files/index.html</x:v>
      </x:c>
      <x:c r="D7" s="18" t="str">
        <x:v>Public-use sujeto a condiciones NCHS/Data User Agreement y limitaciones de confidencialidad; restricted-use solo RDC/proyectos aprobados.</x:v>
      </x:c>
      <x:c r="E7" s="18" t="str">
        <x:v>2026-10-06</x:v>
      </x:c>
      <x:c r="F7" s="18" t="str">
        <x:v>corregido</x:v>
      </x:c>
    </x:row>
    <x:row r="8">
      <x:c r="A8" s="18" t="str">
        <x:v>S07</x:v>
      </x:c>
      <x:c r="B8" s="18" t="str">
        <x:v>Directorio oficial de descargas NCHS Linked Mortality</x:v>
      </x:c>
      <x:c r="C8" s="18" t="str">
        <x:v>https://ftp.cdc.gov/pub/health_statistics/NCHS/datalinkage/linked_mortality/</x:v>
      </x:c>
      <x:c r="D8" s="18" t="str">
        <x:v>Descarga oficial NCHS; aplicar condiciones del archivo y Data User Agreement correspondiente.</x:v>
      </x:c>
      <x:c r="E8" s="18" t="str">
        <x:v>2026-10-06</x:v>
      </x:c>
      <x:c r="F8" s="18" t="str">
        <x:v>verificado</x:v>
      </x:c>
    </x:row>
    <x:row r="9">
      <x:c r="A9" s="18" t="str">
        <x:v>S08</x:v>
      </x:c>
      <x:c r="B9" s="18" t="str">
        <x:v>US Life Tables 2024, NCHS; referencia oficial de mortalidad poblacional</x:v>
      </x:c>
      <x:c r="C9" s="18" t="str">
        <x:v>https://www.cdc.gov/nchs/products/life_tables.htm</x:v>
      </x:c>
      <x:c r="D9" s="18" t="str">
        <x:v>Dominio público federal de EE.UU. salvo indicación contraria</x:v>
      </x:c>
      <x:c r="E9" s="18" t="str">
        <x:v>2026-08-25</x:v>
      </x:c>
      <x:c r="F9" s="18" t="str">
        <x:v>verificado</x:v>
      </x:c>
    </x:row>
    <x:row r="10">
      <x:c r="A10" s="18" t="str">
        <x:v>S09</x:v>
      </x:c>
      <x:c r="B10" s="18" t="str">
        <x:v>Unidad de alcohol UK: 1 unidad = 10 ml / 8 g de alcohol puro</x:v>
      </x:c>
      <x:c r="C10" s="18" t="str">
        <x:v>https://www.nhs.uk/live-well/alcohol-advice/calculating-alcohol-units/</x:v>
      </x:c>
      <x:c r="D10" s="18" t="str">
        <x:v>Open Government Licence v3.0 para NHS Website Content, sujeto a términos, atribución, excepciones de logos/terceros y reglas de adaptación/refresh.</x:v>
      </x:c>
      <x:c r="E10" s="18" t="str">
        <x:v>2026-10-06</x:v>
      </x:c>
      <x:c r="F10" s="18" t="str">
        <x:v>corregido</x:v>
      </x:c>
    </x:row>
    <x:row r="11">
      <x:c r="A11" s="18" t="str">
        <x:v>S10</x:v>
      </x:c>
      <x:c r="B11" s="18" t="str">
        <x:v>US standard drink: 14 g de alcohol puro; equivale a 1.75 unidades UK</x:v>
      </x:c>
      <x:c r="C11" s="18" t="str">
        <x:v>https://www.niaaa.nih.gov/health-professionals-communities/core-resource-on-alcohol/basics-defining-how-much-alcohol-too-much</x:v>
      </x:c>
      <x:c r="D11" s="18" t="str">
        <x:v>Uso factual de fuente federal NIAAA; no se reutiliza material gráfico/textual. Verificar excepciones de terceros si se redistribuye contenido.</x:v>
      </x:c>
      <x:c r="E11" s="18" t="str">
        <x:v>2026-10-06</x:v>
      </x:c>
      <x:c r="F11" s="18" t="str">
        <x:v>verificado</x:v>
      </x:c>
    </x:row>
    <x:row r="12">
      <x:c r="A12" s="18" t="str">
        <x:v>S11</x:v>
      </x:c>
      <x:c r="B12" s="18" t="str">
        <x:v>Stripe US estándar: 2.9% + US$0.30 por transacción doméstica exitosa</x:v>
      </x:c>
      <x:c r="C12" s="18" t="str">
        <x:v>https://stripe.com/pricing</x:v>
      </x:c>
      <x:c r="D12" s="18" t="str">
        <x:v>Tarifa pública; factual</x:v>
      </x:c>
      <x:c r="E12" s="18" t="str">
        <x:v>2026-10-06</x:v>
      </x:c>
      <x:c r="F12" s="18" t="str">
        <x:v>verificado</x:v>
      </x:c>
    </x:row>
    <x:row r="13">
      <x:c r="A13" s="18" t="str">
        <x:v>S12</x:v>
      </x:c>
      <x:c r="B13" s="18" t="str">
        <x:v>Resend transactional: Pro US$20/mes por 50k emails; US$0.0004/email es coste asignado medio a capacidad completa, no coste marginal dentro de cuota; overage US$0.90/1k por bloques.</x:v>
      </x:c>
      <x:c r="C13" s="18" t="str">
        <x:v>https://resend.com/pricing?product=transactional</x:v>
      </x:c>
      <x:c r="D13" s="18" t="str">
        <x:v>Tarifa pública; factual</x:v>
      </x:c>
      <x:c r="E13" s="18" t="str">
        <x:v>2026-10-06</x:v>
      </x:c>
      <x:c r="F13" s="18" t="str">
        <x:v>corregido</x:v>
      </x:c>
    </x:row>
    <x:row r="14">
      <x:c r="A14" s="18" t="str">
        <x:v>S13</x:v>
      </x:c>
      <x:c r="B14" s="18" t="str">
        <x:v>Cloudflare Workers: plan pago desde US$5/mes e inclusiones de requests/CPU para referencia de infraestructura</x:v>
      </x:c>
      <x:c r="C14" s="18" t="str">
        <x:v>https://www.cloudflare.com/plans/developer-platform/</x:v>
      </x:c>
      <x:c r="D14" s="18" t="str">
        <x:v>Tarifa pública; factual</x:v>
      </x:c>
      <x:c r="E14" s="18" t="str">
        <x:v>2026-10-06</x:v>
      </x:c>
      <x:c r="F14" s="18" t="str">
        <x:v>verificado</x:v>
      </x:c>
    </x:row>
    <x:row r="15">
      <x:c r="A15" s="16" t="str">
        <x:v>S14</x:v>
      </x:c>
      <x:c r="B15" s="16" t="str">
        <x:v>PPP conversion factor, private consumption (LCU per international $), World Bank/ICP; fuente para recalcular precios locales</x:v>
      </x:c>
      <x:c r="C15" s="16" t="str">
        <x:v>https://data.worldbank.org/indicator/PA.NUS.PRVT.PP</x:v>
      </x:c>
      <x:c r="D15" s="16" t="str">
        <x:v>CC BY 4.0</x:v>
      </x:c>
      <x:c r="E15" s="16" t="str">
        <x:v>2026-10-06</x:v>
      </x:c>
      <x:c r="F15" s="16" t="str">
        <x:v>verificado</x:v>
      </x:c>
    </x:row>
  </x:sheetData>
  <x:conditionalFormatting sqref="F2:F14">
    <x:cfRule type="expression" dxfId="4" priority="1">
      <x:formula>F2="verificado"</x:formula>
    </x:cfRule>
  </x:conditionalFormatting>
  <x:conditionalFormatting sqref="F15:F15">
    <x:cfRule type="expression" dxfId="7" priority="2">
      <x:formula>F15="verificado"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4" hidden="0" customWidth="1"/>
    <x:col min="4" max="4" width="44" hidden="0" customWidth="1"/>
    <x:col min="5" max="5" width="14" hidden="0" customWidth="1"/>
  </x:cols>
  <x:sheetData>
    <x:row r="1">
      <x:c r="A1" s="24" t="str">
        <x:v>version</x:v>
      </x:c>
      <x:c r="B1" s="24" t="str">
        <x:v>fecha</x:v>
      </x:c>
      <x:c r="C1" s="24" t="str">
        <x:v>cambio</x:v>
      </x:c>
      <x:c r="D1" s="24" t="str">
        <x:v>motivo</x:v>
      </x:c>
      <x:c r="E1" s="24" t="str">
        <x:v>autor</x:v>
      </x:c>
    </x:row>
    <x:row r="2">
      <x:c r="A2" s="18" t="str">
        <x:v>2.0</x:v>
      </x:c>
      <x:c r="B2" s="18" t="str">
        <x:v>2026-10-06</x:v>
      </x:c>
      <x:c r="C2" s="18" t="str">
        <x:v>Se adopta Clift 2021 raw-input Cox model 3 y transformación MorrowAge.</x:v>
      </x:c>
      <x:c r="D2" s="18" t="str">
        <x:v>Coeficientes completos, CC BY, ejecución local y auditable.</x:v>
      </x:c>
      <x:c r="E2" s="18" t="str">
        <x:v>Agente 2</x:v>
      </x:c>
    </x:row>
    <x:row r="3">
      <x:c r="A3" s="18" t="str">
        <x:v>2.0</x:v>
      </x:c>
      <x:c r="B3" s="18" t="str">
        <x:v>2026-10-06</x:v>
      </x:c>
      <x:c r="C3" s="18" t="str">
        <x:v>Rango de edad se restringe de 35–69 a 40–69.</x:v>
      </x:c>
      <x:c r="D3" s="18" t="str">
        <x:v>Evitar extrapolar fuera del reclutamiento del estudio.</x:v>
      </x:c>
      <x:c r="E3" s="18" t="str">
        <x:v>Agente 2</x:v>
      </x:c>
    </x:row>
    <x:row r="4">
      <x:c r="A4" s="18" t="str">
        <x:v>2.0</x:v>
      </x:c>
      <x:c r="B4" s="18" t="str">
        <x:v>2026-10-06</x:v>
      </x:c>
      <x:c r="C4" s="18" t="str">
        <x:v>Se bloquea probabilidad absoluta a 10 años.</x:v>
      </x:c>
      <x:c r="D4" s="18" t="str">
        <x:v>El paper no publica S0(10); no inventar baseline survival.</x:v>
      </x:c>
      <x:c r="E4" s="18" t="str">
        <x:v>Agente 2</x:v>
      </x:c>
    </x:row>
    <x:row r="5">
      <x:c r="A5" s="18" t="str">
        <x:v>2.0</x:v>
      </x:c>
      <x:c r="B5" s="18" t="str">
        <x:v>2026-10-06</x:v>
      </x:c>
      <x:c r="C5" s="18" t="str">
        <x:v>Se define sensibilidad de medición separada de CI.</x:v>
      </x:c>
      <x:c r="D5" s="18" t="str">
        <x:v>No hay CI publicado aplicable a la transformación de edad equivalente.</x:v>
      </x:c>
      <x:c r="E5" s="18" t="str">
        <x:v>Agente 2</x:v>
      </x:c>
    </x:row>
    <x:row r="6">
      <x:c r="A6" s="18" t="str">
        <x:v>2.0</x:v>
      </x:c>
      <x:c r="B6" s="18" t="str">
        <x:v>2026-10-06</x:v>
      </x:c>
      <x:c r="C6" s="18" t="str">
        <x:v>Precios etapa 1 se mantienen como hipótesis, no como PPP verificado.</x:v>
      </x:c>
      <x:c r="D6" s="18" t="str">
        <x:v>Evitar presentar precios estratégicos como paridad de poder adquisitivo demostrada.</x:v>
      </x:c>
      <x:c r="E6" s="18" t="str">
        <x:v>Agente 2</x:v>
      </x:c>
    </x:row>
    <x:row r="7">
      <x:c r="A7" s="16" t="str">
        <x:v>2.1</x:v>
      </x:c>
      <x:c r="B7" s="16" t="str">
        <x:v>2026-10-06</x:v>
      </x:c>
      <x:c r="C7" s="16" t="str">
        <x:v>Sensibilidad pasa a bounds-aware y usa LP distinto por dirección.</x:v>
      </x:c>
      <x:c r="D7" s="16" t="str">
        <x:v>Evitar extrapolar escenarios de medición fuera de guardrails.</x:v>
      </x:c>
      <x:c r="E7" s="16" t="str">
        <x:v>Agente 3</x:v>
      </x:c>
    </x:row>
    <x:row r="8">
      <x:c r="A8" s="16" t="str">
        <x:v>2.1</x:v>
      </x:c>
      <x:c r="B8" s="16" t="str">
        <x:v>2026-10-06</x:v>
      </x:c>
      <x:c r="C8" s="16" t="str">
        <x:v>UI censura MorrowAge bruto fuera de 40–69 como &lt;40 o &gt;69.</x:v>
      </x:c>
      <x:c r="D8" s="16" t="str">
        <x:v>Evitar precisión aparente más allá del rango etario de referencia.</x:v>
      </x:c>
      <x:c r="E8" s="16" t="str">
        <x:v>Agente 3</x:v>
      </x:c>
    </x:row>
    <x:row r="9">
      <x:c r="A9" s="16" t="str">
        <x:v>2.1</x:v>
      </x:c>
      <x:c r="B9" s="16" t="str">
        <x:v>2026-10-06</x:v>
      </x:c>
      <x:c r="C9" s="16" t="str">
        <x:v>Fuentes NCHS/NHS/Resend corregidas y licencias/condiciones afinadas.</x:v>
      </x:c>
      <x:c r="D9" s="16" t="str">
        <x:v>QA web de cifras, licencias y supuestos comerciales.</x:v>
      </x:c>
      <x:c r="E9" s="16" t="str">
        <x:v>Agente 3</x:v>
      </x:c>
    </x:row>
    <x:row r="10">
      <x:c r="A10" s="16" t="str">
        <x:v>2.1</x:v>
      </x:c>
      <x:c r="B10" s="16" t="str">
        <x:v>2026-10-06</x:v>
      </x:c>
      <x:c r="C10" s="16" t="str">
        <x:v>Privacidad y claims alineados: sin riesgo absoluto, sin IC, sin copiar inputs/resultados al owner.</x:v>
      </x:c>
      <x:c r="D10" s="16" t="str">
        <x:v>Minimización de health data y coherencia producto-modelo.</x:v>
      </x:c>
      <x:c r="E10" s="16" t="str">
        <x:v>Agente 3</x:v>
      </x:c>
    </x:row>
  </x:sheetData>
  <x:pageMargins left="0.7" right="0.7" top="0.75" bottom="0.75" header="0.3" footer="0.3"/>
</x:worksheet>
</file>